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_src\misc\hrs_wrkd\excel\"/>
    </mc:Choice>
  </mc:AlternateContent>
  <xr:revisionPtr revIDLastSave="0" documentId="13_ncr:80001_{15C649B6-45F0-4A47-8B52-240E6FABFADF}" xr6:coauthVersionLast="37" xr6:coauthVersionMax="37" xr10:uidLastSave="{00000000-0000-0000-0000-000000000000}"/>
  <bookViews>
    <workbookView xWindow="0" yWindow="0" windowWidth="11610" windowHeight="7500" xr2:uid="{00000000-000D-0000-FFFF-FFFF00000000}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</definedNames>
  <calcPr calcId="179021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9" i="1" l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60" i="1"/>
  <c r="J261" i="1"/>
  <c r="J266" i="1"/>
  <c r="J267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259" i="1"/>
  <c r="I353" i="1"/>
  <c r="C268" i="1"/>
  <c r="H2" i="1" l="1"/>
  <c r="I2" i="1"/>
  <c r="H3" i="1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J258" i="1" s="1"/>
  <c r="H259" i="1"/>
  <c r="I259" i="1"/>
  <c r="H260" i="1"/>
  <c r="I260" i="1"/>
  <c r="H261" i="1"/>
  <c r="I261" i="1"/>
  <c r="H262" i="1"/>
  <c r="I262" i="1"/>
  <c r="J262" i="1" s="1"/>
  <c r="H263" i="1"/>
  <c r="I263" i="1"/>
  <c r="J263" i="1" s="1"/>
  <c r="H264" i="1"/>
  <c r="I264" i="1"/>
  <c r="J264" i="1" s="1"/>
  <c r="H265" i="1"/>
  <c r="I265" i="1"/>
  <c r="J265" i="1" s="1"/>
  <c r="H266" i="1"/>
  <c r="I266" i="1"/>
  <c r="H267" i="1"/>
  <c r="I267" i="1"/>
  <c r="H269" i="1"/>
  <c r="J269" i="1"/>
  <c r="H270" i="1"/>
  <c r="I270" i="1"/>
  <c r="J270" i="1" s="1"/>
  <c r="H271" i="1"/>
  <c r="I271" i="1"/>
  <c r="J271" i="1" s="1"/>
  <c r="H272" i="1"/>
  <c r="I272" i="1"/>
  <c r="J272" i="1" s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  <c r="H268" i="1"/>
  <c r="I268" i="1"/>
  <c r="J268" i="1" s="1"/>
</calcChain>
</file>

<file path=xl/sharedStrings.xml><?xml version="1.0" encoding="utf-8"?>
<sst xmlns="http://schemas.openxmlformats.org/spreadsheetml/2006/main" count="35" uniqueCount="30">
  <si>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</si>
  <si>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</si>
  <si>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</si>
  <si>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</si>
  <si>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</si>
  <si>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</si>
  <si>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</si>
  <si>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</si>
  <si>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</si>
  <si>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</si>
  <si>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</si>
  <si>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</si>
  <si>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</si>
  <si>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</si>
  <si>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</si>
  <si>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Sep</t>
  </si>
  <si>
    <t>Sum of ACTUAL working hours</t>
  </si>
  <si>
    <t>Week</t>
  </si>
  <si>
    <t>Sum of +/-</t>
  </si>
  <si>
    <t>flexday</t>
  </si>
  <si>
    <t>work</t>
  </si>
  <si>
    <t>holiday</t>
  </si>
  <si>
    <t>sick</t>
  </si>
  <si>
    <t>Typ</t>
  </si>
  <si>
    <t>public</t>
  </si>
  <si>
    <t>Total Sum of ACTUAL working hours</t>
  </si>
  <si>
    <t>Total Sum of +/-</t>
  </si>
  <si>
    <t>Year Total</t>
  </si>
  <si>
    <t>Month / Calender Week</t>
  </si>
  <si>
    <t>non productive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</si>
</sst>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5" fontId="0" fillId="0" borderId="0" xfId="0" applyNumberFormat="1"/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alignment horizontal="left"/>
    </dxf>
    <dxf>
      <alignment horizontal="left"/>
    </dxf>
    <dxf>
      <font>
        <color rgb="FF9C0006"/>
      </font>
      <fill>
        <patternFill>
          <bgColor rgb="FFFF5050"/>
        </patternFill>
      </fill>
    </dxf>
    <dxf>
      <font>
        <color rgb="FF9C0006"/>
      </font>
      <fill>
        <patternFill>
          <bgColor rgb="FF66FF66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FF"/>
                  </a:solidFill>
                  <a:latin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993300"/>
                  </a:solidFill>
                  <a:latin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de-DE" sz="14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hristoph" refreshedDate="41919.33160208333" createdVersion="6" refreshedVersion="6" minRefreshableVersion="3" recordCount="365" xr:uid="{AFC0321E-E1E9-43D4-AFDF-1063E87FD557}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8-01-01T00:00:00" maxDate="2019-01-01T00:00:00" count="36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11" base="0">
        <rangePr groupBy="days" startDate="2018-01-01T00:00:00" endDate="2019-01-01T00:00:00"/>
        <groupItems count="368">
          <s v="&lt;01.01.2018"/>
          <s v="02. Jan"/>
          <s v="03. Jan"/>
          <s v="04. Jan"/>
          <s v="05. Jan"/>
          <s v="06. Jan"/>
          <s v="07. Jan"/>
          <s v="08. Jan"/>
          <s v="09. Jan"/>
          <s v="10. Jan"/>
          <s v="11. Jan"/>
          <s v="12. Jan"/>
          <s v="13. Jan"/>
          <s v="14. Jan"/>
          <s v="15. Jan"/>
          <s v="16. Jan"/>
          <s v="17. Jan"/>
          <s v="18. Jan"/>
          <s v="19. Jan"/>
          <s v="20. Jan"/>
          <s v="21. Jan"/>
          <s v="22. Jan"/>
          <s v="23. Jan"/>
          <s v="24. Jan"/>
          <s v="25. Jan"/>
          <s v="26. Jan"/>
          <s v="27. Jan"/>
          <s v="28. Jan"/>
          <s v="29. Jan"/>
          <s v="30. Jan"/>
          <s v="31. Jan"/>
          <s v="01. Feb"/>
          <s v="02. Feb"/>
          <s v="03. Feb"/>
          <s v="04. Feb"/>
          <s v="05. Feb"/>
          <s v="06. Feb"/>
          <s v="07. Feb"/>
          <s v="08. Feb"/>
          <s v="09. Feb"/>
          <s v="10. Feb"/>
          <s v="11. Feb"/>
          <s v="12. Feb"/>
          <s v="13. Feb"/>
          <s v="14. Feb"/>
          <s v="15. Feb"/>
          <s v="16. Feb"/>
          <s v="17. Feb"/>
          <s v="18. Feb"/>
          <s v="19. Feb"/>
          <s v="20. Feb"/>
          <s v="21. Feb"/>
          <s v="22. Feb"/>
          <s v="23. Feb"/>
          <s v="24. Feb"/>
          <s v="25. Feb"/>
          <s v="26. Feb"/>
          <s v="27. Feb"/>
          <s v="28. Feb"/>
          <s v="29. Feb"/>
          <s v="01. Mrz"/>
          <s v="02. Mrz"/>
          <s v="03. Mrz"/>
          <s v="04. Mrz"/>
          <s v="05. Mrz"/>
          <s v="06. Mrz"/>
          <s v="07. Mrz"/>
          <s v="08. Mrz"/>
          <s v="09. Mrz"/>
          <s v="10. Mrz"/>
          <s v="11. Mrz"/>
          <s v="12. Mrz"/>
          <s v="13. Mrz"/>
          <s v="14. Mrz"/>
          <s v="15. Mrz"/>
          <s v="16. Mrz"/>
          <s v="17. Mrz"/>
          <s v="18. Mrz"/>
          <s v="19. Mrz"/>
          <s v="20. Mrz"/>
          <s v="21. Mrz"/>
          <s v="22. Mrz"/>
          <s v="23. Mrz"/>
          <s v="24. Mrz"/>
          <s v="25. Mrz"/>
          <s v="26. Mrz"/>
          <s v="27. Mrz"/>
          <s v="28. Mrz"/>
          <s v="29. Mrz"/>
          <s v="30. Mrz"/>
          <s v="31. Mrz"/>
          <s v="01. Apr"/>
          <s v="02. Apr"/>
          <s v="03. Apr"/>
          <s v="04. Apr"/>
          <s v="05. Apr"/>
          <s v="06. Apr"/>
          <s v="07. Apr"/>
          <s v="08. Apr"/>
          <s v="09. Apr"/>
          <s v="10. Apr"/>
          <s v="11. Apr"/>
          <s v="12. Apr"/>
          <s v="13. Apr"/>
          <s v="14. Apr"/>
          <s v="15. Apr"/>
          <s v="16. Apr"/>
          <s v="17. Apr"/>
          <s v="18. Apr"/>
          <s v="19. Apr"/>
          <s v="20. Apr"/>
          <s v="21. Apr"/>
          <s v="22. Apr"/>
          <s v="23. Apr"/>
          <s v="24. Apr"/>
          <s v="25. Apr"/>
          <s v="26. Apr"/>
          <s v="27. Apr"/>
          <s v="28. Apr"/>
          <s v="29. Apr"/>
          <s v="30. Apr"/>
          <s v="01. Mai"/>
          <s v="02. Mai"/>
          <s v="03. Mai"/>
          <s v="04. Mai"/>
          <s v="05. Mai"/>
          <s v="06. Mai"/>
          <s v="07. Mai"/>
          <s v="08. Mai"/>
          <s v="09. Mai"/>
          <s v="10. Mai"/>
          <s v="11. Mai"/>
          <s v="12. Mai"/>
          <s v="13. Mai"/>
          <s v="14. Mai"/>
          <s v="15. Mai"/>
          <s v="16. Mai"/>
          <s v="17. Mai"/>
          <s v="18. Mai"/>
          <s v="19. Mai"/>
          <s v="20. Mai"/>
          <s v="21. Mai"/>
          <s v="22. Mai"/>
          <s v="23. Mai"/>
          <s v="24. Mai"/>
          <s v="25. Mai"/>
          <s v="26. Mai"/>
          <s v="27. Mai"/>
          <s v="28. Mai"/>
          <s v="29. Mai"/>
          <s v="30. Mai"/>
          <s v="31. Mai"/>
          <s v="01. Jun"/>
          <s v="02. Jun"/>
          <s v="03. Jun"/>
          <s v="04. Jun"/>
          <s v="05. Jun"/>
          <s v="06. Jun"/>
          <s v="07. Jun"/>
          <s v="08. Jun"/>
          <s v="09. Jun"/>
          <s v="10. Jun"/>
          <s v="11. Jun"/>
          <s v="12. Jun"/>
          <s v="13. Jun"/>
          <s v="14. Jun"/>
          <s v="15. Jun"/>
          <s v="16. Jun"/>
          <s v="17. Jun"/>
          <s v="18. Jun"/>
          <s v="19. Jun"/>
          <s v="20. Jun"/>
          <s v="21. Jun"/>
          <s v="22. Jun"/>
          <s v="23. Jun"/>
          <s v="24. Jun"/>
          <s v="25. Jun"/>
          <s v="26. Jun"/>
          <s v="27. Jun"/>
          <s v="28. Jun"/>
          <s v="29. Jun"/>
          <s v="30. Jun"/>
          <s v="01. Jul"/>
          <s v="02. Jul"/>
          <s v="03. Jul"/>
          <s v="04. Jul"/>
          <s v="05. Jul"/>
          <s v="06. Jul"/>
          <s v="07. Jul"/>
          <s v="08. Jul"/>
          <s v="09. Jul"/>
          <s v="10. Jul"/>
          <s v="11. Jul"/>
          <s v="12. Jul"/>
          <s v="13. Jul"/>
          <s v="14. Jul"/>
          <s v="15. Jul"/>
          <s v="16. Jul"/>
          <s v="17. Jul"/>
          <s v="18. Jul"/>
          <s v="19. Jul"/>
          <s v="20. Jul"/>
          <s v="21. Jul"/>
          <s v="22. Jul"/>
          <s v="23. Jul"/>
          <s v="24. Jul"/>
          <s v="25. Jul"/>
          <s v="26. Jul"/>
          <s v="27. Jul"/>
          <s v="28. Jul"/>
          <s v="29. Jul"/>
          <s v="30. Jul"/>
          <s v="31. Jul"/>
          <s v="01. Aug"/>
          <s v="02. Aug"/>
          <s v="03. Aug"/>
          <s v="04. Aug"/>
          <s v="05. Aug"/>
          <s v="06. Aug"/>
          <s v="07. Aug"/>
          <s v="08. Aug"/>
          <s v="09. Aug"/>
          <s v="10. Aug"/>
          <s v="11. Aug"/>
          <s v="12. Aug"/>
          <s v="13. Aug"/>
          <s v="14. Aug"/>
          <s v="15. Aug"/>
          <s v="16. Aug"/>
          <s v="17. Aug"/>
          <s v="18. Aug"/>
          <s v="19. Aug"/>
          <s v="20. Aug"/>
          <s v="21. Aug"/>
          <s v="22. Aug"/>
          <s v="23. Aug"/>
          <s v="24. Aug"/>
          <s v="25. Aug"/>
          <s v="26. Aug"/>
          <s v="27. Aug"/>
          <s v="28. Aug"/>
          <s v="29. Aug"/>
          <s v="30. Aug"/>
          <s v="31. Aug"/>
          <s v="01. Sep"/>
          <s v="02. Sep"/>
          <s v="03. Sep"/>
          <s v="04. Sep"/>
          <s v="05. Sep"/>
          <s v="06. Sep"/>
          <s v="07. Sep"/>
          <s v="08. Sep"/>
          <s v="09. Sep"/>
          <s v="10. Sep"/>
          <s v="11. Sep"/>
          <s v="12. Sep"/>
          <s v="13. Sep"/>
          <s v="14. Sep"/>
          <s v="15. Sep"/>
          <s v="16. Sep"/>
          <s v="17. Sep"/>
          <s v="18. Sep"/>
          <s v="19. Sep"/>
          <s v="20. Sep"/>
          <s v="21. Sep"/>
          <s v="22. Sep"/>
          <s v="23. Sep"/>
          <s v="24. Sep"/>
          <s v="25. Sep"/>
          <s v="26. Sep"/>
          <s v="27. Sep"/>
          <s v="28. Sep"/>
          <s v="29. Sep"/>
          <s v="30. Sep"/>
          <s v="01. Okt"/>
          <s v="02. Okt"/>
          <s v="03. Okt"/>
          <s v="04. Okt"/>
          <s v="05. Okt"/>
          <s v="06. Okt"/>
          <s v="07. Okt"/>
          <s v="08. Okt"/>
          <s v="09. Okt"/>
          <s v="10. Okt"/>
          <s v="11. Okt"/>
          <s v="12. Okt"/>
          <s v="13. Okt"/>
          <s v="14. Okt"/>
          <s v="15. Okt"/>
          <s v="16. Okt"/>
          <s v="17. Okt"/>
          <s v="18. Okt"/>
          <s v="19. Okt"/>
          <s v="20. Okt"/>
          <s v="21. Okt"/>
          <s v="22. Okt"/>
          <s v="23. Okt"/>
          <s v="24. Okt"/>
          <s v="25. Okt"/>
          <s v="26. Okt"/>
          <s v="27. Okt"/>
          <s v="28. Okt"/>
          <s v="29. Okt"/>
          <s v="30. Okt"/>
          <s v="31. Okt"/>
          <s v="01. Nov"/>
          <s v="02. Nov"/>
          <s v="03. Nov"/>
          <s v="04. Nov"/>
          <s v="05. Nov"/>
          <s v="06. Nov"/>
          <s v="07. Nov"/>
          <s v="08. Nov"/>
          <s v="09. Nov"/>
          <s v="10. Nov"/>
          <s v="11. Nov"/>
          <s v="12. Nov"/>
          <s v="13. Nov"/>
          <s v="14. Nov"/>
          <s v="15. Nov"/>
          <s v="16. Nov"/>
          <s v="17. Nov"/>
          <s v="18. Nov"/>
          <s v="19. Nov"/>
          <s v="20. Nov"/>
          <s v="21. Nov"/>
          <s v="22. Nov"/>
          <s v="23. Nov"/>
          <s v="24. Nov"/>
          <s v="25. Nov"/>
          <s v="26. Nov"/>
          <s v="27. Nov"/>
          <s v="28. Nov"/>
          <s v="29. Nov"/>
          <s v="30. Nov"/>
          <s v="01. Dez"/>
          <s v="02. Dez"/>
          <s v="03. Dez"/>
          <s v="04. Dez"/>
          <s v="05. Dez"/>
          <s v="06. Dez"/>
          <s v="07. Dez"/>
          <s v="08. Dez"/>
          <s v="09. Dez"/>
          <s v="10. Dez"/>
          <s v="11. Dez"/>
          <s v="12. Dez"/>
          <s v="13. Dez"/>
          <s v="14. Dez"/>
          <s v="15. Dez"/>
          <s v="16. Dez"/>
          <s v="17. Dez"/>
          <s v="18. Dez"/>
          <s v="19. Dez"/>
          <s v="20. Dez"/>
          <s v="21. Dez"/>
          <s v="22. Dez"/>
          <s v="23. Dez"/>
          <s v="24. Dez"/>
          <s v="25. Dez"/>
          <s v="26. Dez"/>
          <s v="27. Dez"/>
          <s v="28. Dez"/>
          <s v="29. Dez"/>
          <s v="30. Dez"/>
          <s v="31. Dez"/>
          <s v="01. Jan"/>
          <s v="&gt;01.01.2019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Blank="1" count="6">
        <m/>
        <s v="work"/>
        <s v="flexday"/>
        <s v="sick"/>
        <s v="holiday"/>
        <s v="public"/>
      </sharedItems>
      <fieldGroup par="12"/>
    </cacheField>
    <cacheField name="Start" numFmtId="164">
      <sharedItems containsNonDate="0" containsDate="1" containsString="0" containsBlank="1" minDate="1904-01-01T07:00:00" maxDate="1904-01-01T10:39:00"/>
    </cacheField>
    <cacheField name="End" numFmtId="164">
      <sharedItems containsNonDate="0" containsDate="1" containsString="0" containsBlank="1" minDate="1904-01-01T16:00:00" maxDate="1904-01-01T18:45:00"/>
    </cacheField>
    <cacheField name="Break" numFmtId="165">
      <sharedItems containsNonDate="0" containsDate="1" containsString="0" containsBlank="1" minDate="1904-01-01T00:30:00" maxDate="1904-01-01T00:45:00"/>
    </cacheField>
    <cacheField name="SCHEDULED working hours" numFmtId="165">
      <sharedItems/>
    </cacheField>
    <cacheField name="ACTUAL working hours" numFmtId="165">
      <sharedItems containsDate="1" containsMixedTypes="1" minDate="1904-01-01T00:00:00" maxDate="1904-01-02T00:00:00"/>
    </cacheField>
    <cacheField name="+/-" numFmtId="165">
      <sharedItems containsSemiMixedTypes="0" containsDate="1" containsString="0" containsMixedTypes="1" minDate="1904-01-07T11:52:11" maxDate="1904-01-02T00:00:00"/>
    </cacheField>
    <cacheField name="Note" numFmtId="0">
      <sharedItems containsBlank="1"/>
    </cacheField>
    <cacheField name="Months" numFmtId="0" databaseField="0">
      <fieldGroup base="0">
        <rangePr groupBy="months" startDate="2018-01-01T00:00:00" endDate="2019-01-01T00:00:00"/>
        <groupItems count="14">
          <s v="&lt;01.01.2018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1.01.2019"/>
        </groupItems>
      </fieldGroup>
    </cacheField>
    <cacheField name="Type2" numFmtId="0" databaseField="0">
      <fieldGroup base="3">
        <discretePr count="6">
          <x v="0"/>
          <x v="1"/>
          <x v="2"/>
          <x v="2"/>
          <x v="2"/>
          <x v="2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s v="Mon"/>
    <x v="0"/>
    <x v="0"/>
    <m/>
    <m/>
    <m/>
    <s v="7:48"/>
    <d v="1904-01-01T00:00:00"/>
    <d v="1904-01-01T00:00:00"/>
    <m/>
  </r>
  <r>
    <x v="1"/>
    <s v="Tue"/>
    <x v="0"/>
    <x v="0"/>
    <m/>
    <m/>
    <m/>
    <s v="7:48"/>
    <d v="1904-01-01T00:00:00"/>
    <d v="1904-01-01T00:00:00"/>
    <m/>
  </r>
  <r>
    <x v="2"/>
    <s v="Wed"/>
    <x v="0"/>
    <x v="0"/>
    <m/>
    <m/>
    <m/>
    <s v="7:48"/>
    <d v="1904-01-01T00:00:00"/>
    <d v="1904-01-01T00:00:00"/>
    <m/>
  </r>
  <r>
    <x v="3"/>
    <s v="Thu"/>
    <x v="0"/>
    <x v="0"/>
    <m/>
    <m/>
    <m/>
    <s v="7:48"/>
    <d v="1904-01-01T00:00:00"/>
    <d v="1904-01-01T00:00:00"/>
    <m/>
  </r>
  <r>
    <x v="4"/>
    <s v="Fri"/>
    <x v="0"/>
    <x v="0"/>
    <m/>
    <m/>
    <m/>
    <s v="7:48"/>
    <d v="1904-01-01T00:00:00"/>
    <d v="1904-01-01T00:00:00"/>
    <m/>
  </r>
  <r>
    <x v="5"/>
    <s v="Sat"/>
    <x v="0"/>
    <x v="0"/>
    <m/>
    <m/>
    <m/>
    <s v="0:00"/>
    <d v="1904-01-01T00:00:00"/>
    <d v="1904-01-01T00:00:00"/>
    <m/>
  </r>
  <r>
    <x v="6"/>
    <s v="Sun"/>
    <x v="0"/>
    <x v="0"/>
    <m/>
    <m/>
    <m/>
    <s v="0:00"/>
    <d v="1904-01-01T00:00:00"/>
    <d v="1904-01-01T00:00:00"/>
    <m/>
  </r>
  <r>
    <x v="7"/>
    <s v="Mon"/>
    <x v="1"/>
    <x v="0"/>
    <m/>
    <m/>
    <m/>
    <s v="7:48"/>
    <d v="1904-01-01T00:00:00"/>
    <d v="1904-01-01T00:00:00"/>
    <m/>
  </r>
  <r>
    <x v="8"/>
    <s v="Tue"/>
    <x v="1"/>
    <x v="0"/>
    <m/>
    <m/>
    <m/>
    <s v="7:48"/>
    <d v="1904-01-01T00:00:00"/>
    <d v="1904-01-01T00:00:00"/>
    <m/>
  </r>
  <r>
    <x v="9"/>
    <s v="Wed"/>
    <x v="1"/>
    <x v="0"/>
    <m/>
    <m/>
    <m/>
    <s v="7:48"/>
    <d v="1904-01-01T00:00:00"/>
    <d v="1904-01-01T00:00:00"/>
    <m/>
  </r>
  <r>
    <x v="10"/>
    <s v="Thu"/>
    <x v="1"/>
    <x v="0"/>
    <m/>
    <m/>
    <m/>
    <s v="7:48"/>
    <d v="1904-01-01T00:00:00"/>
    <d v="1904-01-01T00:00:00"/>
    <m/>
  </r>
  <r>
    <x v="11"/>
    <s v="Fri"/>
    <x v="1"/>
    <x v="0"/>
    <m/>
    <m/>
    <m/>
    <s v="7:48"/>
    <d v="1904-01-01T00:00:00"/>
    <d v="1904-01-01T00:00:00"/>
    <m/>
  </r>
  <r>
    <x v="12"/>
    <s v="Sat"/>
    <x v="1"/>
    <x v="0"/>
    <m/>
    <m/>
    <m/>
    <s v="0:00"/>
    <d v="1904-01-01T00:00:00"/>
    <d v="1904-01-01T00:00:00"/>
    <m/>
  </r>
  <r>
    <x v="13"/>
    <s v="Sun"/>
    <x v="1"/>
    <x v="0"/>
    <m/>
    <m/>
    <m/>
    <s v="0:00"/>
    <d v="1904-01-01T00:00:00"/>
    <d v="1904-01-01T00:00:00"/>
    <m/>
  </r>
  <r>
    <x v="14"/>
    <s v="Mon"/>
    <x v="2"/>
    <x v="0"/>
    <m/>
    <m/>
    <m/>
    <s v="7:48"/>
    <d v="1904-01-01T00:00:00"/>
    <d v="1904-01-01T00:00:00"/>
    <m/>
  </r>
  <r>
    <x v="15"/>
    <s v="Tue"/>
    <x v="2"/>
    <x v="0"/>
    <m/>
    <m/>
    <m/>
    <s v="7:48"/>
    <d v="1904-01-01T00:00:00"/>
    <d v="1904-01-01T00:00:00"/>
    <m/>
  </r>
  <r>
    <x v="16"/>
    <s v="Wed"/>
    <x v="2"/>
    <x v="0"/>
    <m/>
    <m/>
    <m/>
    <s v="7:48"/>
    <d v="1904-01-01T00:00:00"/>
    <d v="1904-01-01T00:00:00"/>
    <m/>
  </r>
  <r>
    <x v="17"/>
    <s v="Thu"/>
    <x v="2"/>
    <x v="0"/>
    <m/>
    <m/>
    <m/>
    <s v="7:48"/>
    <d v="1904-01-01T00:00:00"/>
    <d v="1904-01-01T00:00:00"/>
    <m/>
  </r>
  <r>
    <x v="18"/>
    <s v="Fri"/>
    <x v="2"/>
    <x v="0"/>
    <m/>
    <m/>
    <m/>
    <s v="7:48"/>
    <d v="1904-01-01T00:00:00"/>
    <d v="1904-01-01T00:00:00"/>
    <m/>
  </r>
  <r>
    <x v="19"/>
    <s v="Sat"/>
    <x v="2"/>
    <x v="0"/>
    <m/>
    <m/>
    <m/>
    <s v="0:00"/>
    <d v="1904-01-01T00:00:00"/>
    <d v="1904-01-01T00:00:00"/>
    <m/>
  </r>
  <r>
    <x v="20"/>
    <s v="Sun"/>
    <x v="2"/>
    <x v="0"/>
    <m/>
    <m/>
    <m/>
    <s v="0:00"/>
    <d v="1904-01-01T00:00:00"/>
    <d v="1904-01-01T00:00:00"/>
    <m/>
  </r>
  <r>
    <x v="21"/>
    <s v="Mon"/>
    <x v="3"/>
    <x v="0"/>
    <m/>
    <m/>
    <m/>
    <s v="7:48"/>
    <d v="1904-01-01T00:00:00"/>
    <d v="1904-01-01T00:00:00"/>
    <m/>
  </r>
  <r>
    <x v="22"/>
    <s v="Tue"/>
    <x v="3"/>
    <x v="0"/>
    <m/>
    <m/>
    <m/>
    <s v="7:48"/>
    <d v="1904-01-01T00:00:00"/>
    <d v="1904-01-01T00:00:00"/>
    <m/>
  </r>
  <r>
    <x v="23"/>
    <s v="Wed"/>
    <x v="3"/>
    <x v="0"/>
    <m/>
    <m/>
    <m/>
    <s v="7:48"/>
    <d v="1904-01-01T00:00:00"/>
    <d v="1904-01-01T00:00:00"/>
    <m/>
  </r>
  <r>
    <x v="24"/>
    <s v="Thu"/>
    <x v="3"/>
    <x v="0"/>
    <m/>
    <m/>
    <m/>
    <s v="7:48"/>
    <d v="1904-01-01T00:00:00"/>
    <d v="1904-01-01T00:00:00"/>
    <m/>
  </r>
  <r>
    <x v="25"/>
    <s v="Fri"/>
    <x v="3"/>
    <x v="0"/>
    <m/>
    <m/>
    <m/>
    <s v="7:48"/>
    <d v="1904-01-01T00:00:00"/>
    <d v="1904-01-01T00:00:00"/>
    <m/>
  </r>
  <r>
    <x v="26"/>
    <s v="Sat"/>
    <x v="3"/>
    <x v="0"/>
    <m/>
    <m/>
    <m/>
    <s v="0:00"/>
    <d v="1904-01-01T00:00:00"/>
    <d v="1904-01-01T00:00:00"/>
    <m/>
  </r>
  <r>
    <x v="27"/>
    <s v="Sun"/>
    <x v="3"/>
    <x v="0"/>
    <m/>
    <m/>
    <m/>
    <s v="0:00"/>
    <d v="1904-01-01T00:00:00"/>
    <d v="1904-01-01T00:00:00"/>
    <m/>
  </r>
  <r>
    <x v="28"/>
    <s v="Mon"/>
    <x v="4"/>
    <x v="0"/>
    <m/>
    <m/>
    <m/>
    <s v="7:48"/>
    <d v="1904-01-01T00:00:00"/>
    <d v="1904-01-01T00:00:00"/>
    <m/>
  </r>
  <r>
    <x v="29"/>
    <s v="Tue"/>
    <x v="4"/>
    <x v="0"/>
    <m/>
    <m/>
    <m/>
    <s v="7:48"/>
    <d v="1904-01-01T00:00:00"/>
    <d v="1904-01-01T00:00:00"/>
    <m/>
  </r>
  <r>
    <x v="30"/>
    <s v="Wed"/>
    <x v="4"/>
    <x v="0"/>
    <m/>
    <m/>
    <m/>
    <s v="7:48"/>
    <d v="1904-01-01T00:00:00"/>
    <d v="1904-01-01T00:00:00"/>
    <m/>
  </r>
  <r>
    <x v="31"/>
    <s v="Thu"/>
    <x v="4"/>
    <x v="0"/>
    <m/>
    <m/>
    <m/>
    <s v="7:48"/>
    <d v="1904-01-01T00:00:00"/>
    <d v="1904-01-01T00:00:00"/>
    <m/>
  </r>
  <r>
    <x v="32"/>
    <s v="Fri"/>
    <x v="4"/>
    <x v="0"/>
    <m/>
    <m/>
    <m/>
    <s v="7:48"/>
    <d v="1904-01-01T00:00:00"/>
    <d v="1904-01-01T00:00:00"/>
    <m/>
  </r>
  <r>
    <x v="33"/>
    <s v="Sat"/>
    <x v="4"/>
    <x v="0"/>
    <m/>
    <m/>
    <m/>
    <s v="0:00"/>
    <d v="1904-01-01T00:00:00"/>
    <d v="1904-01-01T00:00:00"/>
    <m/>
  </r>
  <r>
    <x v="34"/>
    <s v="Sun"/>
    <x v="4"/>
    <x v="0"/>
    <m/>
    <m/>
    <m/>
    <s v="0:00"/>
    <d v="1904-01-01T00:00:00"/>
    <d v="1904-01-01T00:00:00"/>
    <m/>
  </r>
  <r>
    <x v="35"/>
    <s v="Mon"/>
    <x v="5"/>
    <x v="0"/>
    <m/>
    <m/>
    <m/>
    <s v="7:48"/>
    <d v="1904-01-01T00:00:00"/>
    <d v="1904-01-01T00:00:00"/>
    <m/>
  </r>
  <r>
    <x v="36"/>
    <s v="Tue"/>
    <x v="5"/>
    <x v="0"/>
    <m/>
    <m/>
    <m/>
    <s v="7:48"/>
    <d v="1904-01-01T00:00:00"/>
    <d v="1904-01-01T00:00:00"/>
    <m/>
  </r>
  <r>
    <x v="37"/>
    <s v="Wed"/>
    <x v="5"/>
    <x v="0"/>
    <m/>
    <m/>
    <m/>
    <s v="7:48"/>
    <d v="1904-01-01T00:00:00"/>
    <d v="1904-01-01T00:00:00"/>
    <m/>
  </r>
  <r>
    <x v="38"/>
    <s v="Thu"/>
    <x v="5"/>
    <x v="0"/>
    <m/>
    <m/>
    <m/>
    <s v="7:48"/>
    <d v="1904-01-01T00:00:00"/>
    <d v="1904-01-01T00:00:00"/>
    <m/>
  </r>
  <r>
    <x v="39"/>
    <s v="Fri"/>
    <x v="5"/>
    <x v="0"/>
    <m/>
    <m/>
    <m/>
    <s v="7:48"/>
    <d v="1904-01-01T00:00:00"/>
    <d v="1904-01-01T00:00:00"/>
    <m/>
  </r>
  <r>
    <x v="40"/>
    <s v="Sat"/>
    <x v="5"/>
    <x v="0"/>
    <m/>
    <m/>
    <m/>
    <s v="0:00"/>
    <d v="1904-01-01T00:00:00"/>
    <d v="1904-01-01T00:00:00"/>
    <m/>
  </r>
  <r>
    <x v="41"/>
    <s v="Sun"/>
    <x v="5"/>
    <x v="0"/>
    <m/>
    <m/>
    <m/>
    <s v="0:00"/>
    <d v="1904-01-01T00:00:00"/>
    <d v="1904-01-01T00:00:00"/>
    <m/>
  </r>
  <r>
    <x v="42"/>
    <s v="Mon"/>
    <x v="6"/>
    <x v="0"/>
    <m/>
    <m/>
    <m/>
    <s v="7:48"/>
    <d v="1904-01-01T00:00:00"/>
    <d v="1904-01-01T00:00:00"/>
    <m/>
  </r>
  <r>
    <x v="43"/>
    <s v="Tue"/>
    <x v="6"/>
    <x v="0"/>
    <m/>
    <m/>
    <m/>
    <s v="7:48"/>
    <d v="1904-01-01T00:00:00"/>
    <d v="1904-01-01T00:00:00"/>
    <m/>
  </r>
  <r>
    <x v="44"/>
    <s v="Wed"/>
    <x v="6"/>
    <x v="0"/>
    <m/>
    <m/>
    <m/>
    <s v="7:48"/>
    <d v="1904-01-01T00:00:00"/>
    <d v="1904-01-01T00:00:00"/>
    <m/>
  </r>
  <r>
    <x v="45"/>
    <s v="Thu"/>
    <x v="6"/>
    <x v="0"/>
    <m/>
    <m/>
    <m/>
    <s v="7:48"/>
    <d v="1904-01-01T00:00:00"/>
    <d v="1904-01-01T00:00:00"/>
    <m/>
  </r>
  <r>
    <x v="46"/>
    <s v="Fri"/>
    <x v="6"/>
    <x v="0"/>
    <m/>
    <m/>
    <m/>
    <s v="7:48"/>
    <d v="1904-01-01T00:00:00"/>
    <d v="1904-01-01T00:00:00"/>
    <m/>
  </r>
  <r>
    <x v="47"/>
    <s v="Sat"/>
    <x v="6"/>
    <x v="0"/>
    <m/>
    <m/>
    <m/>
    <s v="0:00"/>
    <d v="1904-01-01T00:00:00"/>
    <d v="1904-01-01T00:00:00"/>
    <m/>
  </r>
  <r>
    <x v="48"/>
    <s v="Sun"/>
    <x v="6"/>
    <x v="0"/>
    <m/>
    <m/>
    <m/>
    <s v="0:00"/>
    <d v="1904-01-01T00:00:00"/>
    <d v="1904-01-01T00:00:00"/>
    <m/>
  </r>
  <r>
    <x v="49"/>
    <s v="Mon"/>
    <x v="7"/>
    <x v="0"/>
    <m/>
    <m/>
    <m/>
    <s v="7:48"/>
    <d v="1904-01-01T00:00:00"/>
    <d v="1904-01-01T00:00:00"/>
    <m/>
  </r>
  <r>
    <x v="50"/>
    <s v="Tue"/>
    <x v="7"/>
    <x v="0"/>
    <m/>
    <m/>
    <m/>
    <s v="7:48"/>
    <d v="1904-01-01T00:00:00"/>
    <d v="1904-01-01T00:00:00"/>
    <m/>
  </r>
  <r>
    <x v="51"/>
    <s v="Wed"/>
    <x v="7"/>
    <x v="0"/>
    <m/>
    <m/>
    <m/>
    <s v="7:48"/>
    <d v="1904-01-01T00:00:00"/>
    <d v="1904-01-01T00:00:00"/>
    <m/>
  </r>
  <r>
    <x v="52"/>
    <s v="Thu"/>
    <x v="7"/>
    <x v="0"/>
    <m/>
    <m/>
    <m/>
    <s v="7:48"/>
    <d v="1904-01-01T00:00:00"/>
    <d v="1904-01-01T00:00:00"/>
    <m/>
  </r>
  <r>
    <x v="53"/>
    <s v="Fri"/>
    <x v="7"/>
    <x v="0"/>
    <m/>
    <m/>
    <m/>
    <s v="7:48"/>
    <d v="1904-01-01T00:00:00"/>
    <d v="1904-01-01T00:00:00"/>
    <m/>
  </r>
  <r>
    <x v="54"/>
    <s v="Sat"/>
    <x v="7"/>
    <x v="0"/>
    <m/>
    <m/>
    <m/>
    <s v="0:00"/>
    <d v="1904-01-01T00:00:00"/>
    <d v="1904-01-01T00:00:00"/>
    <m/>
  </r>
  <r>
    <x v="55"/>
    <s v="Sun"/>
    <x v="7"/>
    <x v="0"/>
    <m/>
    <m/>
    <m/>
    <s v="0:00"/>
    <d v="1904-01-01T00:00:00"/>
    <d v="1904-01-01T00:00:00"/>
    <m/>
  </r>
  <r>
    <x v="56"/>
    <s v="Mon"/>
    <x v="8"/>
    <x v="0"/>
    <m/>
    <m/>
    <m/>
    <s v="7:48"/>
    <d v="1904-01-01T00:00:00"/>
    <d v="1904-01-01T00:00:00"/>
    <m/>
  </r>
  <r>
    <x v="57"/>
    <s v="Tue"/>
    <x v="8"/>
    <x v="0"/>
    <m/>
    <m/>
    <m/>
    <s v="7:48"/>
    <d v="1904-01-01T00:00:00"/>
    <d v="1904-01-01T00:00:00"/>
    <m/>
  </r>
  <r>
    <x v="58"/>
    <s v="Wed"/>
    <x v="8"/>
    <x v="0"/>
    <m/>
    <m/>
    <m/>
    <s v="7:48"/>
    <d v="1904-01-01T00:00:00"/>
    <d v="1904-01-01T00:00:00"/>
    <m/>
  </r>
  <r>
    <x v="59"/>
    <s v="Thu"/>
    <x v="8"/>
    <x v="0"/>
    <m/>
    <m/>
    <m/>
    <s v="7:48"/>
    <d v="1904-01-01T00:00:00"/>
    <d v="1904-01-01T00:00:00"/>
    <m/>
  </r>
  <r>
    <x v="60"/>
    <s v="Fri"/>
    <x v="8"/>
    <x v="0"/>
    <m/>
    <m/>
    <m/>
    <s v="7:48"/>
    <d v="1904-01-01T00:00:00"/>
    <d v="1904-01-01T00:00:00"/>
    <m/>
  </r>
  <r>
    <x v="61"/>
    <s v="Sat"/>
    <x v="8"/>
    <x v="0"/>
    <m/>
    <m/>
    <m/>
    <s v="0:00"/>
    <d v="1904-01-01T00:00:00"/>
    <d v="1904-01-01T00:00:00"/>
    <m/>
  </r>
  <r>
    <x v="62"/>
    <s v="Sun"/>
    <x v="8"/>
    <x v="0"/>
    <m/>
    <m/>
    <m/>
    <s v="0:00"/>
    <d v="1904-01-01T00:00:00"/>
    <d v="1904-01-01T00:00:00"/>
    <m/>
  </r>
  <r>
    <x v="63"/>
    <s v="Mon"/>
    <x v="9"/>
    <x v="0"/>
    <m/>
    <m/>
    <m/>
    <s v="7:48"/>
    <d v="1904-01-01T00:00:00"/>
    <d v="1904-01-01T00:00:00"/>
    <m/>
  </r>
  <r>
    <x v="64"/>
    <s v="Tue"/>
    <x v="9"/>
    <x v="0"/>
    <m/>
    <m/>
    <m/>
    <s v="7:48"/>
    <d v="1904-01-01T00:00:00"/>
    <d v="1904-01-01T00:00:00"/>
    <m/>
  </r>
  <r>
    <x v="65"/>
    <s v="Wed"/>
    <x v="9"/>
    <x v="0"/>
    <m/>
    <m/>
    <m/>
    <s v="7:48"/>
    <d v="1904-01-01T00:00:00"/>
    <d v="1904-01-01T00:00:00"/>
    <m/>
  </r>
  <r>
    <x v="66"/>
    <s v="Thu"/>
    <x v="9"/>
    <x v="0"/>
    <m/>
    <m/>
    <m/>
    <s v="7:48"/>
    <d v="1904-01-01T00:00:00"/>
    <d v="1904-01-01T00:00:00"/>
    <m/>
  </r>
  <r>
    <x v="67"/>
    <s v="Fri"/>
    <x v="9"/>
    <x v="0"/>
    <m/>
    <m/>
    <m/>
    <s v="7:48"/>
    <d v="1904-01-01T00:00:00"/>
    <d v="1904-01-01T00:00:00"/>
    <m/>
  </r>
  <r>
    <x v="68"/>
    <s v="Sat"/>
    <x v="9"/>
    <x v="0"/>
    <m/>
    <m/>
    <m/>
    <s v="0:00"/>
    <d v="1904-01-01T00:00:00"/>
    <d v="1904-01-01T00:00:00"/>
    <m/>
  </r>
  <r>
    <x v="69"/>
    <s v="Sun"/>
    <x v="9"/>
    <x v="0"/>
    <m/>
    <m/>
    <m/>
    <s v="0:00"/>
    <d v="1904-01-01T00:00:00"/>
    <d v="1904-01-01T00:00:00"/>
    <m/>
  </r>
  <r>
    <x v="70"/>
    <s v="Mon"/>
    <x v="10"/>
    <x v="0"/>
    <m/>
    <m/>
    <m/>
    <s v="7:48"/>
    <d v="1904-01-01T00:00:00"/>
    <d v="1904-01-01T00:00:00"/>
    <m/>
  </r>
  <r>
    <x v="71"/>
    <s v="Tue"/>
    <x v="10"/>
    <x v="0"/>
    <m/>
    <m/>
    <m/>
    <s v="7:48"/>
    <d v="1904-01-01T00:00:00"/>
    <d v="1904-01-01T00:00:00"/>
    <m/>
  </r>
  <r>
    <x v="72"/>
    <s v="Wed"/>
    <x v="10"/>
    <x v="0"/>
    <m/>
    <m/>
    <m/>
    <s v="7:48"/>
    <d v="1904-01-01T00:00:00"/>
    <d v="1904-01-01T00:00:00"/>
    <m/>
  </r>
  <r>
    <x v="73"/>
    <s v="Thu"/>
    <x v="10"/>
    <x v="0"/>
    <m/>
    <m/>
    <m/>
    <s v="7:48"/>
    <d v="1904-01-01T00:00:00"/>
    <d v="1904-01-01T00:00:00"/>
    <m/>
  </r>
  <r>
    <x v="74"/>
    <s v="Fri"/>
    <x v="10"/>
    <x v="0"/>
    <m/>
    <m/>
    <m/>
    <s v="7:48"/>
    <d v="1904-01-01T00:00:00"/>
    <d v="1904-01-01T00:00:00"/>
    <m/>
  </r>
  <r>
    <x v="75"/>
    <s v="Sat"/>
    <x v="10"/>
    <x v="0"/>
    <m/>
    <m/>
    <m/>
    <s v="0:00"/>
    <d v="1904-01-01T00:00:00"/>
    <d v="1904-01-01T00:00:00"/>
    <m/>
  </r>
  <r>
    <x v="76"/>
    <s v="Sun"/>
    <x v="10"/>
    <x v="0"/>
    <m/>
    <m/>
    <m/>
    <s v="0:00"/>
    <d v="1904-01-01T00:00:00"/>
    <d v="1904-01-01T00:00:00"/>
    <m/>
  </r>
  <r>
    <x v="77"/>
    <s v="Mon"/>
    <x v="11"/>
    <x v="0"/>
    <m/>
    <m/>
    <m/>
    <s v="7:48"/>
    <d v="1904-01-01T00:00:00"/>
    <d v="1904-01-01T00:00:00"/>
    <m/>
  </r>
  <r>
    <x v="78"/>
    <s v="Tue"/>
    <x v="11"/>
    <x v="0"/>
    <m/>
    <m/>
    <m/>
    <s v="7:48"/>
    <d v="1904-01-01T00:00:00"/>
    <d v="1904-01-01T00:00:00"/>
    <m/>
  </r>
  <r>
    <x v="79"/>
    <s v="Wed"/>
    <x v="11"/>
    <x v="0"/>
    <m/>
    <m/>
    <m/>
    <s v="7:48"/>
    <d v="1904-01-01T00:00:00"/>
    <d v="1904-01-01T00:00:00"/>
    <m/>
  </r>
  <r>
    <x v="80"/>
    <s v="Thu"/>
    <x v="11"/>
    <x v="0"/>
    <m/>
    <m/>
    <m/>
    <s v="7:48"/>
    <d v="1904-01-01T00:00:00"/>
    <d v="1904-01-01T00:00:00"/>
    <m/>
  </r>
  <r>
    <x v="81"/>
    <s v="Fri"/>
    <x v="11"/>
    <x v="0"/>
    <m/>
    <m/>
    <m/>
    <s v="7:48"/>
    <d v="1904-01-01T00:00:00"/>
    <d v="1904-01-01T00:00:00"/>
    <m/>
  </r>
  <r>
    <x v="82"/>
    <s v="Sat"/>
    <x v="11"/>
    <x v="0"/>
    <m/>
    <m/>
    <m/>
    <s v="0:00"/>
    <d v="1904-01-01T00:00:00"/>
    <d v="1904-01-01T00:00:00"/>
    <m/>
  </r>
  <r>
    <x v="83"/>
    <s v="Sun"/>
    <x v="11"/>
    <x v="0"/>
    <m/>
    <m/>
    <m/>
    <s v="0:00"/>
    <d v="1904-01-01T00:00:00"/>
    <d v="1904-01-01T00:00:00"/>
    <m/>
  </r>
  <r>
    <x v="84"/>
    <s v="Mon"/>
    <x v="12"/>
    <x v="0"/>
    <m/>
    <m/>
    <m/>
    <s v="7:48"/>
    <d v="1904-01-01T00:00:00"/>
    <d v="1904-01-01T00:00:00"/>
    <m/>
  </r>
  <r>
    <x v="85"/>
    <s v="Tue"/>
    <x v="12"/>
    <x v="0"/>
    <m/>
    <m/>
    <m/>
    <s v="7:48"/>
    <d v="1904-01-01T00:00:00"/>
    <d v="1904-01-01T00:00:00"/>
    <m/>
  </r>
  <r>
    <x v="86"/>
    <s v="Wed"/>
    <x v="12"/>
    <x v="0"/>
    <m/>
    <m/>
    <m/>
    <s v="7:48"/>
    <d v="1904-01-01T00:00:00"/>
    <d v="1904-01-01T00:00:00"/>
    <m/>
  </r>
  <r>
    <x v="87"/>
    <s v="Thu"/>
    <x v="12"/>
    <x v="0"/>
    <m/>
    <m/>
    <m/>
    <s v="7:48"/>
    <d v="1904-01-01T00:00:00"/>
    <d v="1904-01-01T00:00:00"/>
    <m/>
  </r>
  <r>
    <x v="88"/>
    <s v="Fri"/>
    <x v="12"/>
    <x v="0"/>
    <m/>
    <m/>
    <m/>
    <s v="7:48"/>
    <d v="1904-01-01T00:00:00"/>
    <d v="1904-01-01T00:00:00"/>
    <m/>
  </r>
  <r>
    <x v="89"/>
    <s v="Sat"/>
    <x v="12"/>
    <x v="0"/>
    <m/>
    <m/>
    <m/>
    <s v="0:00"/>
    <d v="1904-01-01T00:00:00"/>
    <d v="1904-01-01T00:00:00"/>
    <m/>
  </r>
  <r>
    <x v="90"/>
    <s v="Sun"/>
    <x v="12"/>
    <x v="0"/>
    <m/>
    <m/>
    <m/>
    <s v="0:00"/>
    <d v="1904-01-01T00:00:00"/>
    <d v="1904-01-01T00:00:00"/>
    <m/>
  </r>
  <r>
    <x v="91"/>
    <s v="Mon"/>
    <x v="13"/>
    <x v="0"/>
    <m/>
    <m/>
    <m/>
    <s v="7:48"/>
    <d v="1904-01-01T00:00:00"/>
    <d v="1904-01-01T00:00:00"/>
    <m/>
  </r>
  <r>
    <x v="92"/>
    <s v="Tue"/>
    <x v="13"/>
    <x v="0"/>
    <m/>
    <m/>
    <m/>
    <s v="7:48"/>
    <d v="1904-01-01T00:00:00"/>
    <d v="1904-01-01T00:00:00"/>
    <m/>
  </r>
  <r>
    <x v="93"/>
    <s v="Wed"/>
    <x v="13"/>
    <x v="0"/>
    <m/>
    <m/>
    <m/>
    <s v="7:48"/>
    <d v="1904-01-01T00:00:00"/>
    <d v="1904-01-01T00:00:00"/>
    <m/>
  </r>
  <r>
    <x v="94"/>
    <s v="Thu"/>
    <x v="13"/>
    <x v="0"/>
    <m/>
    <m/>
    <m/>
    <s v="7:48"/>
    <d v="1904-01-01T00:00:00"/>
    <d v="1904-01-01T00:00:00"/>
    <m/>
  </r>
  <r>
    <x v="95"/>
    <s v="Fri"/>
    <x v="13"/>
    <x v="0"/>
    <m/>
    <m/>
    <m/>
    <s v="7:48"/>
    <d v="1904-01-01T00:00:00"/>
    <d v="1904-01-01T00:00:00"/>
    <m/>
  </r>
  <r>
    <x v="96"/>
    <s v="Sat"/>
    <x v="13"/>
    <x v="0"/>
    <m/>
    <m/>
    <m/>
    <s v="0:00"/>
    <d v="1904-01-01T00:00:00"/>
    <d v="1904-01-01T00:00:00"/>
    <m/>
  </r>
  <r>
    <x v="97"/>
    <s v="Sun"/>
    <x v="13"/>
    <x v="0"/>
    <m/>
    <m/>
    <m/>
    <s v="0:00"/>
    <d v="1904-01-01T00:00:00"/>
    <d v="1904-01-01T00:00:00"/>
    <m/>
  </r>
  <r>
    <x v="98"/>
    <s v="Mon"/>
    <x v="14"/>
    <x v="0"/>
    <m/>
    <m/>
    <m/>
    <s v="7:48"/>
    <d v="1904-01-01T00:00:00"/>
    <d v="1904-01-01T00:00:00"/>
    <m/>
  </r>
  <r>
    <x v="99"/>
    <s v="Tue"/>
    <x v="14"/>
    <x v="0"/>
    <m/>
    <m/>
    <m/>
    <s v="7:48"/>
    <d v="1904-01-01T00:00:00"/>
    <d v="1904-01-01T00:00:00"/>
    <m/>
  </r>
  <r>
    <x v="100"/>
    <s v="Wed"/>
    <x v="14"/>
    <x v="0"/>
    <m/>
    <m/>
    <m/>
    <s v="7:48"/>
    <d v="1904-01-01T00:00:00"/>
    <d v="1904-01-01T00:00:00"/>
    <m/>
  </r>
  <r>
    <x v="101"/>
    <s v="Thu"/>
    <x v="14"/>
    <x v="0"/>
    <m/>
    <m/>
    <m/>
    <s v="7:48"/>
    <d v="1904-01-01T00:00:00"/>
    <d v="1904-01-01T00:00:00"/>
    <m/>
  </r>
  <r>
    <x v="102"/>
    <s v="Fri"/>
    <x v="14"/>
    <x v="0"/>
    <m/>
    <m/>
    <m/>
    <s v="7:48"/>
    <d v="1904-01-01T00:00:00"/>
    <d v="1904-01-01T00:00:00"/>
    <m/>
  </r>
  <r>
    <x v="103"/>
    <s v="Sat"/>
    <x v="14"/>
    <x v="0"/>
    <m/>
    <m/>
    <m/>
    <s v="0:00"/>
    <d v="1904-01-01T00:00:00"/>
    <d v="1904-01-01T00:00:00"/>
    <m/>
  </r>
  <r>
    <x v="104"/>
    <s v="Sun"/>
    <x v="14"/>
    <x v="0"/>
    <m/>
    <m/>
    <m/>
    <s v="0:00"/>
    <d v="1904-01-01T00:00:00"/>
    <d v="1904-01-01T00:00:00"/>
    <m/>
  </r>
  <r>
    <x v="105"/>
    <s v="Mon"/>
    <x v="15"/>
    <x v="0"/>
    <m/>
    <m/>
    <m/>
    <s v="7:48"/>
    <d v="1904-01-01T00:00:00"/>
    <d v="1904-01-01T00:00:00"/>
    <m/>
  </r>
  <r>
    <x v="106"/>
    <s v="Tue"/>
    <x v="15"/>
    <x v="0"/>
    <m/>
    <m/>
    <m/>
    <s v="7:48"/>
    <d v="1904-01-01T00:00:00"/>
    <d v="1904-01-01T00:00:00"/>
    <m/>
  </r>
  <r>
    <x v="107"/>
    <s v="Wed"/>
    <x v="15"/>
    <x v="0"/>
    <m/>
    <m/>
    <m/>
    <s v="7:48"/>
    <d v="1904-01-01T00:00:00"/>
    <d v="1904-01-01T00:00:00"/>
    <m/>
  </r>
  <r>
    <x v="108"/>
    <s v="Thu"/>
    <x v="15"/>
    <x v="0"/>
    <m/>
    <m/>
    <m/>
    <s v="7:48"/>
    <d v="1904-01-01T00:00:00"/>
    <d v="1904-01-01T00:00:00"/>
    <m/>
  </r>
  <r>
    <x v="109"/>
    <s v="Fri"/>
    <x v="15"/>
    <x v="0"/>
    <m/>
    <m/>
    <m/>
    <s v="7:48"/>
    <d v="1904-01-01T00:00:00"/>
    <d v="1904-01-01T00:00:00"/>
    <m/>
  </r>
  <r>
    <x v="110"/>
    <s v="Sat"/>
    <x v="15"/>
    <x v="0"/>
    <m/>
    <m/>
    <m/>
    <s v="0:00"/>
    <d v="1904-01-01T00:00:00"/>
    <d v="1904-01-01T00:00:00"/>
    <m/>
  </r>
  <r>
    <x v="111"/>
    <s v="Sun"/>
    <x v="15"/>
    <x v="0"/>
    <m/>
    <m/>
    <m/>
    <s v="0:00"/>
    <d v="1904-01-01T00:00:00"/>
    <d v="1904-01-01T00:00:00"/>
    <m/>
  </r>
  <r>
    <x v="112"/>
    <s v="Mon"/>
    <x v="16"/>
    <x v="0"/>
    <m/>
    <m/>
    <m/>
    <s v="7:48"/>
    <d v="1904-01-01T00:00:00"/>
    <d v="1904-01-01T00:00:00"/>
    <m/>
  </r>
  <r>
    <x v="113"/>
    <s v="Tue"/>
    <x v="16"/>
    <x v="0"/>
    <m/>
    <m/>
    <m/>
    <s v="7:48"/>
    <d v="1904-01-01T00:00:00"/>
    <d v="1904-01-01T00:00:00"/>
    <m/>
  </r>
  <r>
    <x v="114"/>
    <s v="Wed"/>
    <x v="16"/>
    <x v="0"/>
    <m/>
    <m/>
    <m/>
    <s v="7:48"/>
    <d v="1904-01-01T00:00:00"/>
    <d v="1904-01-01T00:00:00"/>
    <m/>
  </r>
  <r>
    <x v="115"/>
    <s v="Thu"/>
    <x v="16"/>
    <x v="0"/>
    <m/>
    <m/>
    <m/>
    <s v="7:48"/>
    <d v="1904-01-01T00:00:00"/>
    <d v="1904-01-01T00:00:00"/>
    <m/>
  </r>
  <r>
    <x v="116"/>
    <s v="Fri"/>
    <x v="16"/>
    <x v="0"/>
    <m/>
    <m/>
    <m/>
    <s v="7:48"/>
    <d v="1904-01-01T00:00:00"/>
    <d v="1904-01-01T00:00:00"/>
    <m/>
  </r>
  <r>
    <x v="117"/>
    <s v="Sat"/>
    <x v="16"/>
    <x v="0"/>
    <m/>
    <m/>
    <m/>
    <s v="0:00"/>
    <d v="1904-01-01T00:00:00"/>
    <d v="1904-01-01T00:00:00"/>
    <m/>
  </r>
  <r>
    <x v="118"/>
    <s v="Sun"/>
    <x v="16"/>
    <x v="0"/>
    <m/>
    <m/>
    <m/>
    <s v="0:00"/>
    <d v="1904-01-01T00:00:00"/>
    <d v="1904-01-01T00:00:00"/>
    <m/>
  </r>
  <r>
    <x v="119"/>
    <s v="Mon"/>
    <x v="17"/>
    <x v="0"/>
    <m/>
    <m/>
    <m/>
    <s v="7:48"/>
    <d v="1904-01-01T00:00:00"/>
    <d v="1904-01-01T00:00:00"/>
    <m/>
  </r>
  <r>
    <x v="120"/>
    <s v="Tue"/>
    <x v="17"/>
    <x v="0"/>
    <m/>
    <m/>
    <m/>
    <s v="7:48"/>
    <d v="1904-01-01T00:00:00"/>
    <d v="1904-01-01T00:00:00"/>
    <m/>
  </r>
  <r>
    <x v="121"/>
    <s v="Wed"/>
    <x v="17"/>
    <x v="0"/>
    <m/>
    <m/>
    <m/>
    <s v="7:48"/>
    <d v="1904-01-01T00:00:00"/>
    <d v="1904-01-01T00:00:00"/>
    <m/>
  </r>
  <r>
    <x v="122"/>
    <s v="Thu"/>
    <x v="17"/>
    <x v="0"/>
    <m/>
    <m/>
    <m/>
    <s v="7:48"/>
    <d v="1904-01-01T00:00:00"/>
    <d v="1904-01-01T00:00:00"/>
    <m/>
  </r>
  <r>
    <x v="123"/>
    <s v="Fri"/>
    <x v="17"/>
    <x v="0"/>
    <m/>
    <m/>
    <m/>
    <s v="7:48"/>
    <d v="1904-01-01T00:00:00"/>
    <d v="1904-01-01T00:00:00"/>
    <m/>
  </r>
  <r>
    <x v="124"/>
    <s v="Sat"/>
    <x v="17"/>
    <x v="0"/>
    <m/>
    <m/>
    <m/>
    <s v="0:00"/>
    <d v="1904-01-01T00:00:00"/>
    <d v="1904-01-01T00:00:00"/>
    <m/>
  </r>
  <r>
    <x v="125"/>
    <s v="Sun"/>
    <x v="17"/>
    <x v="0"/>
    <m/>
    <m/>
    <m/>
    <s v="0:00"/>
    <d v="1904-01-01T00:00:00"/>
    <d v="1904-01-01T00:00:00"/>
    <m/>
  </r>
  <r>
    <x v="126"/>
    <s v="Mon"/>
    <x v="18"/>
    <x v="0"/>
    <m/>
    <m/>
    <m/>
    <s v="7:48"/>
    <d v="1904-01-01T00:00:00"/>
    <d v="1904-01-01T00:00:00"/>
    <m/>
  </r>
  <r>
    <x v="127"/>
    <s v="Tue"/>
    <x v="18"/>
    <x v="0"/>
    <m/>
    <m/>
    <m/>
    <s v="7:48"/>
    <d v="1904-01-01T00:00:00"/>
    <d v="1904-01-01T00:00:00"/>
    <m/>
  </r>
  <r>
    <x v="128"/>
    <s v="Wed"/>
    <x v="18"/>
    <x v="0"/>
    <m/>
    <m/>
    <m/>
    <s v="7:48"/>
    <d v="1904-01-01T00:00:00"/>
    <d v="1904-01-01T00:00:00"/>
    <m/>
  </r>
  <r>
    <x v="129"/>
    <s v="Thu"/>
    <x v="18"/>
    <x v="0"/>
    <m/>
    <m/>
    <m/>
    <s v="7:48"/>
    <d v="1904-01-01T00:00:00"/>
    <d v="1904-01-01T00:00:00"/>
    <m/>
  </r>
  <r>
    <x v="130"/>
    <s v="Fri"/>
    <x v="18"/>
    <x v="0"/>
    <m/>
    <m/>
    <m/>
    <s v="7:48"/>
    <d v="1904-01-01T00:00:00"/>
    <d v="1904-01-01T00:00:00"/>
    <m/>
  </r>
  <r>
    <x v="131"/>
    <s v="Sat"/>
    <x v="18"/>
    <x v="0"/>
    <m/>
    <m/>
    <m/>
    <s v="0:00"/>
    <d v="1904-01-01T00:00:00"/>
    <d v="1904-01-01T00:00:00"/>
    <m/>
  </r>
  <r>
    <x v="132"/>
    <s v="Sun"/>
    <x v="18"/>
    <x v="0"/>
    <m/>
    <m/>
    <m/>
    <s v="0:00"/>
    <d v="1904-01-01T00:00:00"/>
    <d v="1904-01-01T00:00:00"/>
    <m/>
  </r>
  <r>
    <x v="133"/>
    <s v="Mon"/>
    <x v="19"/>
    <x v="0"/>
    <m/>
    <m/>
    <m/>
    <s v="7:48"/>
    <d v="1904-01-01T00:00:00"/>
    <d v="1904-01-01T00:00:00"/>
    <m/>
  </r>
  <r>
    <x v="134"/>
    <s v="Tue"/>
    <x v="19"/>
    <x v="0"/>
    <m/>
    <m/>
    <m/>
    <s v="7:48"/>
    <d v="1904-01-01T00:00:00"/>
    <d v="1904-01-01T00:00:00"/>
    <m/>
  </r>
  <r>
    <x v="135"/>
    <s v="Wed"/>
    <x v="19"/>
    <x v="0"/>
    <m/>
    <m/>
    <m/>
    <s v="7:48"/>
    <d v="1904-01-01T00:00:00"/>
    <d v="1904-01-01T00:00:00"/>
    <m/>
  </r>
  <r>
    <x v="136"/>
    <s v="Thu"/>
    <x v="19"/>
    <x v="0"/>
    <m/>
    <m/>
    <m/>
    <s v="7:48"/>
    <d v="1904-01-01T00:00:00"/>
    <d v="1904-01-01T00:00:00"/>
    <m/>
  </r>
  <r>
    <x v="137"/>
    <s v="Fri"/>
    <x v="19"/>
    <x v="0"/>
    <m/>
    <m/>
    <m/>
    <s v="7:48"/>
    <d v="1904-01-01T00:00:00"/>
    <d v="1904-01-01T00:00:00"/>
    <m/>
  </r>
  <r>
    <x v="138"/>
    <s v="Sat"/>
    <x v="19"/>
    <x v="0"/>
    <m/>
    <m/>
    <m/>
    <s v="0:00"/>
    <d v="1904-01-01T00:00:00"/>
    <d v="1904-01-01T00:00:00"/>
    <m/>
  </r>
  <r>
    <x v="139"/>
    <s v="Sun"/>
    <x v="19"/>
    <x v="0"/>
    <m/>
    <m/>
    <m/>
    <s v="0:00"/>
    <d v="1904-01-01T00:00:00"/>
    <d v="1904-01-01T00:00:00"/>
    <m/>
  </r>
  <r>
    <x v="140"/>
    <s v="Mon"/>
    <x v="20"/>
    <x v="0"/>
    <m/>
    <m/>
    <m/>
    <s v="7:48"/>
    <d v="1904-01-01T00:00:00"/>
    <d v="1904-01-01T00:00:00"/>
    <m/>
  </r>
  <r>
    <x v="141"/>
    <s v="Tue"/>
    <x v="20"/>
    <x v="0"/>
    <m/>
    <m/>
    <m/>
    <s v="7:48"/>
    <d v="1904-01-01T00:00:00"/>
    <d v="1904-01-01T00:00:00"/>
    <m/>
  </r>
  <r>
    <x v="142"/>
    <s v="Wed"/>
    <x v="20"/>
    <x v="0"/>
    <m/>
    <m/>
    <m/>
    <s v="7:48"/>
    <d v="1904-01-01T00:00:00"/>
    <d v="1904-01-01T00:00:00"/>
    <m/>
  </r>
  <r>
    <x v="143"/>
    <s v="Thu"/>
    <x v="20"/>
    <x v="0"/>
    <m/>
    <m/>
    <m/>
    <s v="7:48"/>
    <d v="1904-01-01T00:00:00"/>
    <d v="1904-01-01T00:00:00"/>
    <m/>
  </r>
  <r>
    <x v="144"/>
    <s v="Fri"/>
    <x v="20"/>
    <x v="0"/>
    <m/>
    <m/>
    <m/>
    <s v="7:48"/>
    <d v="1904-01-01T00:00:00"/>
    <d v="1904-01-01T00:00:00"/>
    <m/>
  </r>
  <r>
    <x v="145"/>
    <s v="Sat"/>
    <x v="20"/>
    <x v="0"/>
    <m/>
    <m/>
    <m/>
    <s v="0:00"/>
    <d v="1904-01-01T00:00:00"/>
    <d v="1904-01-01T00:00:00"/>
    <m/>
  </r>
  <r>
    <x v="146"/>
    <s v="Sun"/>
    <x v="20"/>
    <x v="0"/>
    <m/>
    <m/>
    <m/>
    <s v="0:00"/>
    <d v="1904-01-01T00:00:00"/>
    <d v="1904-01-01T00:00:00"/>
    <m/>
  </r>
  <r>
    <x v="147"/>
    <s v="Mon"/>
    <x v="21"/>
    <x v="0"/>
    <m/>
    <m/>
    <m/>
    <s v="7:48"/>
    <d v="1904-01-01T00:00:00"/>
    <d v="1904-01-01T00:00:00"/>
    <m/>
  </r>
  <r>
    <x v="148"/>
    <s v="Tue"/>
    <x v="21"/>
    <x v="0"/>
    <m/>
    <m/>
    <m/>
    <s v="7:48"/>
    <d v="1904-01-01T00:00:00"/>
    <d v="1904-01-01T00:00:00"/>
    <m/>
  </r>
  <r>
    <x v="149"/>
    <s v="Wed"/>
    <x v="21"/>
    <x v="0"/>
    <m/>
    <m/>
    <m/>
    <s v="7:48"/>
    <d v="1904-01-01T00:00:00"/>
    <d v="1904-01-01T00:00:00"/>
    <m/>
  </r>
  <r>
    <x v="150"/>
    <s v="Thu"/>
    <x v="21"/>
    <x v="0"/>
    <m/>
    <m/>
    <m/>
    <s v="7:48"/>
    <d v="1904-01-01T00:00:00"/>
    <d v="1904-01-01T00:00:00"/>
    <m/>
  </r>
  <r>
    <x v="151"/>
    <s v="Fri"/>
    <x v="21"/>
    <x v="0"/>
    <m/>
    <m/>
    <m/>
    <s v="7:48"/>
    <d v="1904-01-01T00:00:00"/>
    <d v="1904-01-01T00:00:00"/>
    <m/>
  </r>
  <r>
    <x v="152"/>
    <s v="Sat"/>
    <x v="21"/>
    <x v="0"/>
    <m/>
    <m/>
    <m/>
    <s v="0:00"/>
    <d v="1904-01-01T00:00:00"/>
    <d v="1904-01-01T00:00:00"/>
    <m/>
  </r>
  <r>
    <x v="153"/>
    <s v="Sun"/>
    <x v="21"/>
    <x v="0"/>
    <m/>
    <m/>
    <m/>
    <s v="0:00"/>
    <d v="1904-01-01T00:00:00"/>
    <d v="1904-01-01T00:00:00"/>
    <m/>
  </r>
  <r>
    <x v="154"/>
    <s v="Mon"/>
    <x v="22"/>
    <x v="0"/>
    <m/>
    <m/>
    <m/>
    <s v="7:48"/>
    <d v="1904-01-01T00:00:00"/>
    <d v="1904-01-01T00:00:00"/>
    <m/>
  </r>
  <r>
    <x v="155"/>
    <s v="Tue"/>
    <x v="22"/>
    <x v="0"/>
    <m/>
    <m/>
    <m/>
    <s v="7:48"/>
    <d v="1904-01-01T00:00:00"/>
    <d v="1904-01-01T00:00:00"/>
    <m/>
  </r>
  <r>
    <x v="156"/>
    <s v="Wed"/>
    <x v="22"/>
    <x v="0"/>
    <m/>
    <m/>
    <m/>
    <s v="7:48"/>
    <d v="1904-01-01T00:00:00"/>
    <d v="1904-01-01T00:00:00"/>
    <m/>
  </r>
  <r>
    <x v="157"/>
    <s v="Thu"/>
    <x v="22"/>
    <x v="0"/>
    <m/>
    <m/>
    <m/>
    <s v="7:48"/>
    <d v="1904-01-01T00:00:00"/>
    <d v="1904-01-01T00:00:00"/>
    <m/>
  </r>
  <r>
    <x v="158"/>
    <s v="Fri"/>
    <x v="22"/>
    <x v="0"/>
    <m/>
    <m/>
    <m/>
    <s v="7:48"/>
    <d v="1904-01-01T00:00:00"/>
    <d v="1904-01-01T00:00:00"/>
    <m/>
  </r>
  <r>
    <x v="159"/>
    <s v="Sat"/>
    <x v="22"/>
    <x v="0"/>
    <m/>
    <m/>
    <m/>
    <s v="0:00"/>
    <d v="1904-01-01T00:00:00"/>
    <d v="1904-01-01T00:00:00"/>
    <m/>
  </r>
  <r>
    <x v="160"/>
    <s v="Sun"/>
    <x v="22"/>
    <x v="0"/>
    <m/>
    <m/>
    <m/>
    <s v="0:00"/>
    <d v="1904-01-01T00:00:00"/>
    <d v="1904-01-01T00:00:00"/>
    <m/>
  </r>
  <r>
    <x v="161"/>
    <s v="Mon"/>
    <x v="23"/>
    <x v="0"/>
    <m/>
    <m/>
    <m/>
    <s v="7:48"/>
    <d v="1904-01-01T00:00:00"/>
    <d v="1904-01-01T00:00:00"/>
    <m/>
  </r>
  <r>
    <x v="162"/>
    <s v="Tue"/>
    <x v="23"/>
    <x v="0"/>
    <m/>
    <m/>
    <m/>
    <s v="7:48"/>
    <d v="1904-01-01T00:00:00"/>
    <d v="1904-01-01T00:00:00"/>
    <m/>
  </r>
  <r>
    <x v="163"/>
    <s v="Wed"/>
    <x v="23"/>
    <x v="0"/>
    <m/>
    <m/>
    <m/>
    <s v="7:48"/>
    <d v="1904-01-01T00:00:00"/>
    <d v="1904-01-01T00:00:00"/>
    <m/>
  </r>
  <r>
    <x v="164"/>
    <s v="Thu"/>
    <x v="23"/>
    <x v="0"/>
    <m/>
    <m/>
    <m/>
    <s v="7:48"/>
    <d v="1904-01-01T00:00:00"/>
    <d v="1904-01-01T00:00:00"/>
    <m/>
  </r>
  <r>
    <x v="165"/>
    <s v="Fri"/>
    <x v="23"/>
    <x v="0"/>
    <m/>
    <m/>
    <m/>
    <s v="7:48"/>
    <d v="1904-01-01T00:00:00"/>
    <d v="1904-01-01T00:00:00"/>
    <m/>
  </r>
  <r>
    <x v="166"/>
    <s v="Sat"/>
    <x v="23"/>
    <x v="0"/>
    <m/>
    <m/>
    <m/>
    <s v="0:00"/>
    <d v="1904-01-01T00:00:00"/>
    <d v="1904-01-01T00:00:00"/>
    <m/>
  </r>
  <r>
    <x v="167"/>
    <s v="Sun"/>
    <x v="23"/>
    <x v="0"/>
    <m/>
    <m/>
    <m/>
    <s v="0:00"/>
    <d v="1904-01-01T00:00:00"/>
    <d v="1904-01-01T00:00:00"/>
    <m/>
  </r>
  <r>
    <x v="168"/>
    <s v="Mon"/>
    <x v="24"/>
    <x v="0"/>
    <m/>
    <m/>
    <m/>
    <s v="7:48"/>
    <d v="1904-01-01T00:00:00"/>
    <d v="1904-01-01T00:00:00"/>
    <m/>
  </r>
  <r>
    <x v="169"/>
    <s v="Tue"/>
    <x v="24"/>
    <x v="0"/>
    <m/>
    <m/>
    <m/>
    <s v="7:48"/>
    <d v="1904-01-01T00:00:00"/>
    <d v="1904-01-01T00:00:00"/>
    <m/>
  </r>
  <r>
    <x v="170"/>
    <s v="Wed"/>
    <x v="24"/>
    <x v="0"/>
    <m/>
    <m/>
    <m/>
    <s v="7:48"/>
    <d v="1904-01-01T00:00:00"/>
    <d v="1904-01-01T00:00:00"/>
    <m/>
  </r>
  <r>
    <x v="171"/>
    <s v="Thu"/>
    <x v="24"/>
    <x v="0"/>
    <m/>
    <m/>
    <m/>
    <s v="7:48"/>
    <d v="1904-01-01T00:00:00"/>
    <d v="1904-01-01T00:00:00"/>
    <m/>
  </r>
  <r>
    <x v="172"/>
    <s v="Fri"/>
    <x v="24"/>
    <x v="0"/>
    <m/>
    <m/>
    <m/>
    <s v="7:48"/>
    <d v="1904-01-01T00:00:00"/>
    <d v="1904-01-01T00:00:00"/>
    <m/>
  </r>
  <r>
    <x v="173"/>
    <s v="Sat"/>
    <x v="24"/>
    <x v="0"/>
    <m/>
    <m/>
    <m/>
    <s v="0:00"/>
    <d v="1904-01-01T00:00:00"/>
    <d v="1904-01-01T00:00:00"/>
    <m/>
  </r>
  <r>
    <x v="174"/>
    <s v="Sun"/>
    <x v="24"/>
    <x v="0"/>
    <m/>
    <m/>
    <m/>
    <s v="0:00"/>
    <d v="1904-01-01T00:00:00"/>
    <d v="1904-01-01T00:00:00"/>
    <m/>
  </r>
  <r>
    <x v="175"/>
    <s v="Mon"/>
    <x v="25"/>
    <x v="0"/>
    <m/>
    <m/>
    <m/>
    <s v="7:48"/>
    <d v="1904-01-01T00:00:00"/>
    <d v="1904-01-01T00:00:00"/>
    <m/>
  </r>
  <r>
    <x v="176"/>
    <s v="Tue"/>
    <x v="25"/>
    <x v="0"/>
    <m/>
    <m/>
    <m/>
    <s v="7:48"/>
    <d v="1904-01-01T00:00:00"/>
    <d v="1904-01-01T00:00:00"/>
    <m/>
  </r>
  <r>
    <x v="177"/>
    <s v="Wed"/>
    <x v="25"/>
    <x v="0"/>
    <m/>
    <m/>
    <m/>
    <s v="7:48"/>
    <d v="1904-01-01T00:00:00"/>
    <d v="1904-01-01T00:00:00"/>
    <m/>
  </r>
  <r>
    <x v="178"/>
    <s v="Thu"/>
    <x v="25"/>
    <x v="0"/>
    <m/>
    <m/>
    <m/>
    <s v="7:48"/>
    <d v="1904-01-01T00:00:00"/>
    <d v="1904-01-01T00:00:00"/>
    <m/>
  </r>
  <r>
    <x v="179"/>
    <s v="Fri"/>
    <x v="25"/>
    <x v="0"/>
    <m/>
    <m/>
    <m/>
    <s v="7:48"/>
    <d v="1904-01-01T00:00:00"/>
    <d v="1904-01-01T00:00:00"/>
    <m/>
  </r>
  <r>
    <x v="180"/>
    <s v="Sat"/>
    <x v="25"/>
    <x v="0"/>
    <m/>
    <m/>
    <m/>
    <s v="0:00"/>
    <d v="1904-01-01T00:00:00"/>
    <d v="1904-01-01T00:00:00"/>
    <m/>
  </r>
  <r>
    <x v="181"/>
    <s v="Sun"/>
    <x v="25"/>
    <x v="0"/>
    <m/>
    <m/>
    <m/>
    <s v="0:00"/>
    <d v="1904-01-01T00:00:00"/>
    <d v="1904-01-01T00:00:00"/>
    <m/>
  </r>
  <r>
    <x v="182"/>
    <s v="Mon"/>
    <x v="26"/>
    <x v="0"/>
    <m/>
    <m/>
    <m/>
    <s v="7:48"/>
    <d v="1904-01-01T00:00:00"/>
    <d v="1904-01-01T00:00:00"/>
    <m/>
  </r>
  <r>
    <x v="183"/>
    <s v="Tue"/>
    <x v="26"/>
    <x v="0"/>
    <m/>
    <m/>
    <m/>
    <s v="7:48"/>
    <d v="1904-01-01T00:00:00"/>
    <d v="1904-01-01T00:00:00"/>
    <m/>
  </r>
  <r>
    <x v="184"/>
    <s v="Wed"/>
    <x v="26"/>
    <x v="0"/>
    <m/>
    <m/>
    <m/>
    <s v="7:48"/>
    <d v="1904-01-01T00:00:00"/>
    <d v="1904-01-01T00:00:00"/>
    <m/>
  </r>
  <r>
    <x v="185"/>
    <s v="Thu"/>
    <x v="26"/>
    <x v="0"/>
    <m/>
    <m/>
    <m/>
    <s v="7:48"/>
    <d v="1904-01-01T00:00:00"/>
    <d v="1904-01-01T00:00:00"/>
    <m/>
  </r>
  <r>
    <x v="186"/>
    <s v="Fri"/>
    <x v="26"/>
    <x v="0"/>
    <m/>
    <m/>
    <m/>
    <s v="7:48"/>
    <d v="1904-01-01T00:00:00"/>
    <d v="1904-01-01T00:00:00"/>
    <m/>
  </r>
  <r>
    <x v="187"/>
    <s v="Sat"/>
    <x v="26"/>
    <x v="0"/>
    <m/>
    <m/>
    <m/>
    <s v="0:00"/>
    <d v="1904-01-01T00:00:00"/>
    <d v="1904-01-01T00:00:00"/>
    <m/>
  </r>
  <r>
    <x v="188"/>
    <s v="Sun"/>
    <x v="26"/>
    <x v="0"/>
    <m/>
    <m/>
    <m/>
    <s v="0:00"/>
    <d v="1904-01-01T00:00:00"/>
    <d v="1904-01-01T00:00:00"/>
    <m/>
  </r>
  <r>
    <x v="189"/>
    <s v="Mon"/>
    <x v="27"/>
    <x v="0"/>
    <m/>
    <m/>
    <m/>
    <s v="7:48"/>
    <d v="1904-01-01T00:00:00"/>
    <d v="1904-01-01T00:00:00"/>
    <m/>
  </r>
  <r>
    <x v="190"/>
    <s v="Tue"/>
    <x v="27"/>
    <x v="0"/>
    <m/>
    <m/>
    <m/>
    <s v="7:48"/>
    <d v="1904-01-01T00:00:00"/>
    <d v="1904-01-01T00:00:00"/>
    <m/>
  </r>
  <r>
    <x v="191"/>
    <s v="Wed"/>
    <x v="27"/>
    <x v="0"/>
    <m/>
    <m/>
    <m/>
    <s v="7:48"/>
    <d v="1904-01-01T00:00:00"/>
    <d v="1904-01-01T00:00:00"/>
    <m/>
  </r>
  <r>
    <x v="192"/>
    <s v="Thu"/>
    <x v="27"/>
    <x v="0"/>
    <m/>
    <m/>
    <m/>
    <s v="7:48"/>
    <d v="1904-01-01T00:00:00"/>
    <d v="1904-01-01T00:00:00"/>
    <m/>
  </r>
  <r>
    <x v="193"/>
    <s v="Fri"/>
    <x v="27"/>
    <x v="0"/>
    <m/>
    <m/>
    <m/>
    <s v="7:48"/>
    <d v="1904-01-01T00:00:00"/>
    <d v="1904-01-01T00:00:00"/>
    <m/>
  </r>
  <r>
    <x v="194"/>
    <s v="Sat"/>
    <x v="27"/>
    <x v="0"/>
    <m/>
    <m/>
    <m/>
    <s v="0:00"/>
    <d v="1904-01-01T00:00:00"/>
    <d v="1904-01-01T00:00:00"/>
    <m/>
  </r>
  <r>
    <x v="195"/>
    <s v="Sun"/>
    <x v="27"/>
    <x v="0"/>
    <m/>
    <m/>
    <m/>
    <s v="0:00"/>
    <d v="1904-01-01T00:00:00"/>
    <d v="1904-01-01T00:00:00"/>
    <m/>
  </r>
  <r>
    <x v="196"/>
    <s v="Mon"/>
    <x v="28"/>
    <x v="0"/>
    <m/>
    <m/>
    <m/>
    <s v="7:48"/>
    <d v="1904-01-01T00:00:00"/>
    <d v="1904-01-01T00:00:00"/>
    <m/>
  </r>
  <r>
    <x v="197"/>
    <s v="Tue"/>
    <x v="28"/>
    <x v="0"/>
    <m/>
    <m/>
    <m/>
    <s v="7:48"/>
    <d v="1904-01-01T00:00:00"/>
    <d v="1904-01-01T00:00:00"/>
    <m/>
  </r>
  <r>
    <x v="198"/>
    <s v="Wed"/>
    <x v="28"/>
    <x v="0"/>
    <m/>
    <m/>
    <m/>
    <s v="7:48"/>
    <d v="1904-01-01T00:00:00"/>
    <d v="1904-01-01T00:00:00"/>
    <m/>
  </r>
  <r>
    <x v="199"/>
    <s v="Thu"/>
    <x v="28"/>
    <x v="0"/>
    <m/>
    <m/>
    <m/>
    <s v="7:48"/>
    <d v="1904-01-01T00:00:00"/>
    <d v="1904-01-01T00:00:00"/>
    <m/>
  </r>
  <r>
    <x v="200"/>
    <s v="Fri"/>
    <x v="28"/>
    <x v="0"/>
    <m/>
    <m/>
    <m/>
    <s v="7:48"/>
    <d v="1904-01-01T00:00:00"/>
    <d v="1904-01-01T00:00:00"/>
    <m/>
  </r>
  <r>
    <x v="201"/>
    <s v="Sat"/>
    <x v="28"/>
    <x v="0"/>
    <m/>
    <m/>
    <m/>
    <s v="0:00"/>
    <d v="1904-01-01T00:00:00"/>
    <d v="1904-01-01T00:00:00"/>
    <m/>
  </r>
  <r>
    <x v="202"/>
    <s v="Sun"/>
    <x v="28"/>
    <x v="0"/>
    <m/>
    <m/>
    <m/>
    <s v="0:00"/>
    <d v="1904-01-01T00:00:00"/>
    <d v="1904-01-01T00:00:00"/>
    <m/>
  </r>
  <r>
    <x v="203"/>
    <s v="Mon"/>
    <x v="29"/>
    <x v="0"/>
    <m/>
    <m/>
    <m/>
    <s v="7:48"/>
    <d v="1904-01-01T00:00:00"/>
    <d v="1904-01-01T00:00:00"/>
    <m/>
  </r>
  <r>
    <x v="204"/>
    <s v="Tue"/>
    <x v="29"/>
    <x v="0"/>
    <m/>
    <m/>
    <m/>
    <s v="7:48"/>
    <d v="1904-01-01T00:00:00"/>
    <d v="1904-01-01T00:00:00"/>
    <m/>
  </r>
  <r>
    <x v="205"/>
    <s v="Wed"/>
    <x v="29"/>
    <x v="0"/>
    <m/>
    <m/>
    <m/>
    <s v="7:48"/>
    <d v="1904-01-01T00:00:00"/>
    <d v="1904-01-01T00:00:00"/>
    <m/>
  </r>
  <r>
    <x v="206"/>
    <s v="Thu"/>
    <x v="29"/>
    <x v="0"/>
    <m/>
    <m/>
    <m/>
    <s v="7:48"/>
    <d v="1904-01-01T00:00:00"/>
    <d v="1904-01-01T00:00:00"/>
    <m/>
  </r>
  <r>
    <x v="207"/>
    <s v="Fri"/>
    <x v="29"/>
    <x v="0"/>
    <m/>
    <m/>
    <m/>
    <s v="7:48"/>
    <d v="1904-01-01T00:00:00"/>
    <d v="1904-01-01T00:00:00"/>
    <m/>
  </r>
  <r>
    <x v="208"/>
    <s v="Sat"/>
    <x v="29"/>
    <x v="0"/>
    <m/>
    <m/>
    <m/>
    <s v="0:00"/>
    <d v="1904-01-01T00:00:00"/>
    <d v="1904-01-01T00:00:00"/>
    <m/>
  </r>
  <r>
    <x v="209"/>
    <s v="Sun"/>
    <x v="29"/>
    <x v="0"/>
    <m/>
    <m/>
    <m/>
    <s v="0:00"/>
    <d v="1904-01-01T00:00:00"/>
    <d v="1904-01-01T00:00:00"/>
    <m/>
  </r>
  <r>
    <x v="210"/>
    <s v="Mon"/>
    <x v="30"/>
    <x v="0"/>
    <m/>
    <m/>
    <m/>
    <s v="7:48"/>
    <d v="1904-01-01T00:00:00"/>
    <d v="1904-01-01T00:00:00"/>
    <m/>
  </r>
  <r>
    <x v="211"/>
    <s v="Tue"/>
    <x v="30"/>
    <x v="0"/>
    <m/>
    <m/>
    <m/>
    <s v="7:48"/>
    <d v="1904-01-01T00:00:00"/>
    <d v="1904-01-01T00:00:00"/>
    <m/>
  </r>
  <r>
    <x v="212"/>
    <s v="Wed"/>
    <x v="30"/>
    <x v="0"/>
    <m/>
    <m/>
    <m/>
    <s v="7:48"/>
    <d v="1904-01-01T00:00:00"/>
    <d v="1904-01-01T00:00:00"/>
    <m/>
  </r>
  <r>
    <x v="213"/>
    <s v="Thu"/>
    <x v="30"/>
    <x v="0"/>
    <m/>
    <m/>
    <m/>
    <s v="7:48"/>
    <d v="1904-01-01T00:00:00"/>
    <d v="1904-01-01T00:00:00"/>
    <m/>
  </r>
  <r>
    <x v="214"/>
    <s v="Fri"/>
    <x v="30"/>
    <x v="0"/>
    <m/>
    <m/>
    <m/>
    <s v="7:48"/>
    <d v="1904-01-01T00:00:00"/>
    <d v="1904-01-01T00:00:00"/>
    <m/>
  </r>
  <r>
    <x v="215"/>
    <s v="Sat"/>
    <x v="30"/>
    <x v="0"/>
    <m/>
    <m/>
    <m/>
    <s v="0:00"/>
    <d v="1904-01-01T00:00:00"/>
    <d v="1904-01-01T00:00:00"/>
    <m/>
  </r>
  <r>
    <x v="216"/>
    <s v="Sun"/>
    <x v="30"/>
    <x v="0"/>
    <m/>
    <m/>
    <m/>
    <s v="0:00"/>
    <d v="1904-01-01T00:00:00"/>
    <d v="1904-01-01T00:00:00"/>
    <m/>
  </r>
  <r>
    <x v="217"/>
    <s v="Mon"/>
    <x v="31"/>
    <x v="0"/>
    <m/>
    <m/>
    <m/>
    <s v="7:48"/>
    <d v="1904-01-01T00:00:00"/>
    <d v="1904-01-01T00:00:00"/>
    <m/>
  </r>
  <r>
    <x v="218"/>
    <s v="Tue"/>
    <x v="31"/>
    <x v="0"/>
    <m/>
    <m/>
    <m/>
    <s v="7:48"/>
    <d v="1904-01-01T00:00:00"/>
    <d v="1904-01-01T00:00:00"/>
    <m/>
  </r>
  <r>
    <x v="219"/>
    <s v="Wed"/>
    <x v="31"/>
    <x v="0"/>
    <m/>
    <m/>
    <m/>
    <s v="7:48"/>
    <d v="1904-01-01T00:00:00"/>
    <d v="1904-01-01T00:00:00"/>
    <m/>
  </r>
  <r>
    <x v="220"/>
    <s v="Thu"/>
    <x v="31"/>
    <x v="0"/>
    <m/>
    <m/>
    <m/>
    <s v="7:48"/>
    <d v="1904-01-01T00:00:00"/>
    <d v="1904-01-01T00:00:00"/>
    <m/>
  </r>
  <r>
    <x v="221"/>
    <s v="Fri"/>
    <x v="31"/>
    <x v="0"/>
    <m/>
    <m/>
    <m/>
    <s v="7:48"/>
    <d v="1904-01-01T00:00:00"/>
    <d v="1904-01-01T00:00:00"/>
    <m/>
  </r>
  <r>
    <x v="222"/>
    <s v="Sat"/>
    <x v="31"/>
    <x v="0"/>
    <m/>
    <m/>
    <m/>
    <s v="0:00"/>
    <d v="1904-01-01T00:00:00"/>
    <d v="1904-01-01T00:00:00"/>
    <m/>
  </r>
  <r>
    <x v="223"/>
    <s v="Sun"/>
    <x v="31"/>
    <x v="0"/>
    <m/>
    <m/>
    <m/>
    <s v="0:00"/>
    <d v="1904-01-01T00:00:00"/>
    <d v="1904-01-01T00:00:00"/>
    <m/>
  </r>
  <r>
    <x v="224"/>
    <s v="Mon"/>
    <x v="32"/>
    <x v="0"/>
    <m/>
    <m/>
    <m/>
    <s v="7:48"/>
    <d v="1904-01-01T00:00:00"/>
    <d v="1904-01-01T00:00:00"/>
    <m/>
  </r>
  <r>
    <x v="225"/>
    <s v="Tue"/>
    <x v="32"/>
    <x v="0"/>
    <m/>
    <m/>
    <m/>
    <s v="7:48"/>
    <d v="1904-01-01T00:00:00"/>
    <d v="1904-01-01T00:00:00"/>
    <m/>
  </r>
  <r>
    <x v="226"/>
    <s v="Wed"/>
    <x v="32"/>
    <x v="0"/>
    <m/>
    <m/>
    <m/>
    <s v="7:48"/>
    <d v="1904-01-01T00:00:00"/>
    <d v="1904-01-01T00:00:00"/>
    <m/>
  </r>
  <r>
    <x v="227"/>
    <s v="Thu"/>
    <x v="32"/>
    <x v="0"/>
    <m/>
    <m/>
    <m/>
    <s v="7:48"/>
    <d v="1904-01-01T00:00:00"/>
    <d v="1904-01-01T00:00:00"/>
    <m/>
  </r>
  <r>
    <x v="228"/>
    <s v="Fri"/>
    <x v="32"/>
    <x v="0"/>
    <m/>
    <m/>
    <m/>
    <s v="7:48"/>
    <d v="1904-01-01T00:00:00"/>
    <d v="1904-01-01T00:00:00"/>
    <m/>
  </r>
  <r>
    <x v="229"/>
    <s v="Sat"/>
    <x v="32"/>
    <x v="0"/>
    <m/>
    <m/>
    <m/>
    <s v="0:00"/>
    <d v="1904-01-01T00:00:00"/>
    <d v="1904-01-01T00:00:00"/>
    <m/>
  </r>
  <r>
    <x v="230"/>
    <s v="Sun"/>
    <x v="32"/>
    <x v="0"/>
    <m/>
    <m/>
    <m/>
    <s v="0:00"/>
    <d v="1904-01-01T00:00:00"/>
    <d v="1904-01-01T00:00:00"/>
    <m/>
  </r>
  <r>
    <x v="231"/>
    <s v="Mon"/>
    <x v="33"/>
    <x v="0"/>
    <m/>
    <m/>
    <m/>
    <s v="7:48"/>
    <d v="1904-01-01T00:00:00"/>
    <d v="1904-01-01T00:00:00"/>
    <m/>
  </r>
  <r>
    <x v="232"/>
    <s v="Tue"/>
    <x v="33"/>
    <x v="0"/>
    <m/>
    <m/>
    <m/>
    <s v="7:48"/>
    <d v="1904-01-01T00:00:00"/>
    <d v="1904-01-01T00:00:00"/>
    <m/>
  </r>
  <r>
    <x v="233"/>
    <s v="Wed"/>
    <x v="33"/>
    <x v="0"/>
    <m/>
    <m/>
    <m/>
    <s v="7:48"/>
    <d v="1904-01-01T00:00:00"/>
    <d v="1904-01-01T00:00:00"/>
    <m/>
  </r>
  <r>
    <x v="234"/>
    <s v="Thu"/>
    <x v="33"/>
    <x v="0"/>
    <m/>
    <m/>
    <m/>
    <s v="7:48"/>
    <d v="1904-01-01T00:00:00"/>
    <d v="1904-01-01T00:00:00"/>
    <m/>
  </r>
  <r>
    <x v="235"/>
    <s v="Fri"/>
    <x v="33"/>
    <x v="0"/>
    <m/>
    <m/>
    <m/>
    <s v="7:48"/>
    <d v="1904-01-01T00:00:00"/>
    <d v="1904-01-01T00:00:00"/>
    <m/>
  </r>
  <r>
    <x v="236"/>
    <s v="Sat"/>
    <x v="33"/>
    <x v="0"/>
    <m/>
    <m/>
    <m/>
    <s v="0:00"/>
    <d v="1904-01-01T00:00:00"/>
    <d v="1904-01-01T00:00:00"/>
    <m/>
  </r>
  <r>
    <x v="237"/>
    <s v="Sun"/>
    <x v="33"/>
    <x v="0"/>
    <m/>
    <m/>
    <m/>
    <s v="0:00"/>
    <d v="1904-01-01T00:00:00"/>
    <d v="1904-01-01T00:00:00"/>
    <m/>
  </r>
  <r>
    <x v="238"/>
    <s v="Mon"/>
    <x v="34"/>
    <x v="0"/>
    <m/>
    <m/>
    <m/>
    <s v="7:48"/>
    <d v="1904-01-01T00:00:00"/>
    <d v="1904-01-01T00:00:00"/>
    <m/>
  </r>
  <r>
    <x v="239"/>
    <s v="Tue"/>
    <x v="34"/>
    <x v="0"/>
    <m/>
    <m/>
    <m/>
    <s v="7:48"/>
    <d v="1904-01-01T00:00:00"/>
    <d v="1904-01-01T00:00:00"/>
    <m/>
  </r>
  <r>
    <x v="240"/>
    <s v="Wed"/>
    <x v="34"/>
    <x v="0"/>
    <m/>
    <m/>
    <m/>
    <s v="7:48"/>
    <d v="1904-01-01T00:00:00"/>
    <d v="1904-01-01T00:00:00"/>
    <m/>
  </r>
  <r>
    <x v="241"/>
    <s v="Thu"/>
    <x v="34"/>
    <x v="0"/>
    <m/>
    <m/>
    <m/>
    <s v="7:48"/>
    <d v="1904-01-01T00:00:00"/>
    <d v="1904-01-01T00:00:00"/>
    <m/>
  </r>
  <r>
    <x v="242"/>
    <s v="Fri"/>
    <x v="34"/>
    <x v="0"/>
    <m/>
    <m/>
    <m/>
    <s v="7:48"/>
    <d v="1904-01-01T00:00:00"/>
    <d v="1904-01-01T00:00:00"/>
    <m/>
  </r>
  <r>
    <x v="243"/>
    <s v="Sat"/>
    <x v="34"/>
    <x v="0"/>
    <m/>
    <m/>
    <m/>
    <s v="0:00"/>
    <d v="1904-01-01T00:00:00"/>
    <d v="1904-01-01T00:00:00"/>
    <m/>
  </r>
  <r>
    <x v="244"/>
    <s v="Sun"/>
    <x v="34"/>
    <x v="0"/>
    <m/>
    <m/>
    <m/>
    <s v="0:00"/>
    <d v="1904-01-01T00:00:00"/>
    <d v="1904-01-01T00:00:00"/>
    <m/>
  </r>
  <r>
    <x v="245"/>
    <s v="Mon"/>
    <x v="35"/>
    <x v="0"/>
    <m/>
    <m/>
    <m/>
    <s v="7:48"/>
    <d v="1904-01-01T00:00:00"/>
    <d v="1904-01-01T00:00:00"/>
    <m/>
  </r>
  <r>
    <x v="246"/>
    <s v="Tue"/>
    <x v="35"/>
    <x v="0"/>
    <m/>
    <m/>
    <m/>
    <s v="7:48"/>
    <d v="1904-01-01T00:00:00"/>
    <d v="1904-01-01T00:00:00"/>
    <m/>
  </r>
  <r>
    <x v="247"/>
    <s v="Wed"/>
    <x v="35"/>
    <x v="0"/>
    <m/>
    <m/>
    <m/>
    <s v="7:48"/>
    <d v="1904-01-01T00:00:00"/>
    <d v="1904-01-01T00:00:00"/>
    <m/>
  </r>
  <r>
    <x v="248"/>
    <s v="Thu"/>
    <x v="35"/>
    <x v="0"/>
    <m/>
    <m/>
    <m/>
    <s v="7:48"/>
    <d v="1904-01-01T00:00:00"/>
    <d v="1904-01-01T00:00:00"/>
    <m/>
  </r>
  <r>
    <x v="249"/>
    <s v="Fri"/>
    <x v="35"/>
    <x v="0"/>
    <m/>
    <m/>
    <m/>
    <s v="7:48"/>
    <d v="1904-01-01T00:00:00"/>
    <d v="1904-01-01T00:00:00"/>
    <m/>
  </r>
  <r>
    <x v="250"/>
    <s v="Sat"/>
    <x v="35"/>
    <x v="0"/>
    <m/>
    <m/>
    <m/>
    <s v="0:00"/>
    <d v="1904-01-01T00:00:00"/>
    <d v="1904-01-01T00:00:00"/>
    <m/>
  </r>
  <r>
    <x v="251"/>
    <s v="Sun"/>
    <x v="35"/>
    <x v="0"/>
    <m/>
    <m/>
    <m/>
    <s v="0:00"/>
    <d v="1904-01-01T00:00:00"/>
    <d v="1904-01-01T00:00:00"/>
    <m/>
  </r>
  <r>
    <x v="252"/>
    <s v="Mon"/>
    <x v="36"/>
    <x v="1"/>
    <d v="1904-01-01T07:00:00"/>
    <d v="1904-01-01T17:31:00"/>
    <d v="1904-01-01T00:40:00"/>
    <s v="7:48"/>
    <d v="1904-01-01T09:51:00"/>
    <d v="1904-01-01T02:03:00"/>
    <m/>
  </r>
  <r>
    <x v="253"/>
    <s v="Tue"/>
    <x v="36"/>
    <x v="1"/>
    <d v="1904-01-01T08:00:00"/>
    <d v="1904-01-01T18:00:00"/>
    <d v="1904-01-01T00:30:00"/>
    <s v="7:48"/>
    <d v="1904-01-01T09:30:00"/>
    <d v="1904-01-01T01:42:00"/>
    <m/>
  </r>
  <r>
    <x v="254"/>
    <s v="Wed"/>
    <x v="36"/>
    <x v="1"/>
    <d v="1904-01-01T07:30:00"/>
    <d v="1904-01-01T17:00:00"/>
    <d v="1904-01-01T00:45:00"/>
    <s v="7:48"/>
    <d v="1904-01-01T08:45:00"/>
    <d v="1904-01-01T00:57:00"/>
    <m/>
  </r>
  <r>
    <x v="255"/>
    <s v="Thu"/>
    <x v="36"/>
    <x v="1"/>
    <d v="1904-01-01T08:30:00"/>
    <d v="1904-01-01T18:30:00"/>
    <d v="1904-01-01T00:30:00"/>
    <s v="7:48"/>
    <d v="1904-01-01T09:30:00"/>
    <d v="1904-01-01T01:42:00"/>
    <m/>
  </r>
  <r>
    <x v="256"/>
    <s v="Fri"/>
    <x v="36"/>
    <x v="2"/>
    <m/>
    <m/>
    <m/>
    <s v="7:48"/>
    <s v="7:48"/>
    <d v="1904-01-01T00:00:00"/>
    <m/>
  </r>
  <r>
    <x v="257"/>
    <s v="Sat"/>
    <x v="36"/>
    <x v="0"/>
    <m/>
    <m/>
    <m/>
    <s v="0:00"/>
    <d v="1904-01-01T00:00:00"/>
    <d v="1904-01-01T00:00:00"/>
    <m/>
  </r>
  <r>
    <x v="258"/>
    <s v="Sun"/>
    <x v="36"/>
    <x v="0"/>
    <m/>
    <m/>
    <m/>
    <s v="0:00"/>
    <d v="1904-01-01T00:00:00"/>
    <d v="1904-01-01T00:00:00"/>
    <m/>
  </r>
  <r>
    <x v="259"/>
    <s v="Mon"/>
    <x v="37"/>
    <x v="1"/>
    <d v="1904-01-01T10:39:00"/>
    <d v="1904-01-01T18:00:00"/>
    <d v="1904-01-01T00:45:00"/>
    <s v="7:48"/>
    <d v="1904-01-01T06:36:00"/>
    <n v="-5.0000000000000044E-2"/>
    <m/>
  </r>
  <r>
    <x v="260"/>
    <s v="Tue"/>
    <x v="37"/>
    <x v="3"/>
    <m/>
    <m/>
    <m/>
    <s v="7:48"/>
    <s v="7:48"/>
    <d v="1904-01-01T00:00:00"/>
    <m/>
  </r>
  <r>
    <x v="261"/>
    <s v="Wed"/>
    <x v="37"/>
    <x v="4"/>
    <m/>
    <m/>
    <m/>
    <s v="7:48"/>
    <s v="7:48"/>
    <d v="1904-01-01T00:00:00"/>
    <m/>
  </r>
  <r>
    <x v="262"/>
    <s v="Thu"/>
    <x v="37"/>
    <x v="5"/>
    <m/>
    <m/>
    <m/>
    <s v="7:48"/>
    <s v="7:48"/>
    <d v="1904-01-01T00:00:00"/>
    <m/>
  </r>
  <r>
    <x v="263"/>
    <s v="Fri"/>
    <x v="37"/>
    <x v="4"/>
    <m/>
    <m/>
    <m/>
    <s v="7:48"/>
    <s v="7:48"/>
    <d v="1904-01-01T00:00:00"/>
    <m/>
  </r>
  <r>
    <x v="264"/>
    <s v="Sat"/>
    <x v="37"/>
    <x v="0"/>
    <m/>
    <m/>
    <m/>
    <s v="0:00"/>
    <d v="1904-01-01T00:00:00"/>
    <d v="1904-01-01T00:00:00"/>
    <m/>
  </r>
  <r>
    <x v="265"/>
    <s v="Sun"/>
    <x v="37"/>
    <x v="0"/>
    <m/>
    <m/>
    <m/>
    <s v="0:00"/>
    <d v="1904-01-01T00:00:00"/>
    <d v="1904-01-01T00:00:00"/>
    <m/>
  </r>
  <r>
    <x v="266"/>
    <s v="Mon"/>
    <x v="38"/>
    <x v="2"/>
    <m/>
    <m/>
    <m/>
    <s v="7:48"/>
    <s v="7:48"/>
    <d v="1904-01-01T00:00:00"/>
    <s v="This is a test"/>
  </r>
  <r>
    <x v="267"/>
    <s v="Tue"/>
    <x v="38"/>
    <x v="1"/>
    <d v="1904-01-01T07:00:00"/>
    <d v="1904-01-01T18:00:00"/>
    <d v="1904-01-01T00:30:00"/>
    <s v="7:48"/>
    <d v="1904-01-01T10:30:00"/>
    <d v="1904-01-01T02:42:00"/>
    <m/>
  </r>
  <r>
    <x v="268"/>
    <s v="Wed"/>
    <x v="38"/>
    <x v="1"/>
    <d v="1904-01-01T07:00:00"/>
    <d v="1904-01-01T18:45:00"/>
    <d v="1904-01-01T00:30:00"/>
    <s v="7:48"/>
    <d v="1904-01-01T11:15:00"/>
    <d v="1904-01-01T03:27:00"/>
    <m/>
  </r>
  <r>
    <x v="269"/>
    <s v="Thu"/>
    <x v="38"/>
    <x v="1"/>
    <d v="1904-01-01T07:00:00"/>
    <d v="1904-01-01T17:00:00"/>
    <d v="1904-01-01T00:45:00"/>
    <s v="7:48"/>
    <d v="1904-01-01T09:15:00"/>
    <d v="1904-01-01T01:27:00"/>
    <s v="A lot of extra work today"/>
  </r>
  <r>
    <x v="270"/>
    <s v="Fri"/>
    <x v="38"/>
    <x v="1"/>
    <d v="1904-01-01T07:00:00"/>
    <d v="1904-01-01T16:00:00"/>
    <d v="1904-01-01T00:30:00"/>
    <s v="7:48"/>
    <d v="1904-01-01T08:30:00"/>
    <d v="1904-01-01T00:42:00"/>
    <m/>
  </r>
  <r>
    <x v="271"/>
    <s v="Sat"/>
    <x v="38"/>
    <x v="0"/>
    <m/>
    <m/>
    <m/>
    <s v="0:00"/>
    <d v="1904-01-01T00:00:00"/>
    <d v="1904-01-01T00:00:00"/>
    <m/>
  </r>
  <r>
    <x v="272"/>
    <s v="Sun"/>
    <x v="38"/>
    <x v="0"/>
    <m/>
    <m/>
    <m/>
    <s v="0:00"/>
    <d v="1904-01-01T00:00:00"/>
    <d v="1904-01-01T00:00:00"/>
    <m/>
  </r>
  <r>
    <x v="273"/>
    <s v="Mon"/>
    <x v="39"/>
    <x v="0"/>
    <m/>
    <m/>
    <m/>
    <s v="7:48"/>
    <d v="1904-01-01T00:00:00"/>
    <d v="1904-01-01T00:00:00"/>
    <m/>
  </r>
  <r>
    <x v="274"/>
    <s v="Tue"/>
    <x v="39"/>
    <x v="0"/>
    <m/>
    <m/>
    <m/>
    <s v="7:48"/>
    <d v="1904-01-01T00:00:00"/>
    <d v="1904-01-01T00:00:00"/>
    <m/>
  </r>
  <r>
    <x v="275"/>
    <s v="Wed"/>
    <x v="39"/>
    <x v="0"/>
    <m/>
    <m/>
    <m/>
    <s v="7:48"/>
    <d v="1904-01-01T00:00:00"/>
    <d v="1904-01-01T00:00:00"/>
    <m/>
  </r>
  <r>
    <x v="276"/>
    <s v="Thu"/>
    <x v="39"/>
    <x v="0"/>
    <m/>
    <m/>
    <m/>
    <s v="7:48"/>
    <d v="1904-01-01T00:00:00"/>
    <d v="1904-01-01T00:00:00"/>
    <m/>
  </r>
  <r>
    <x v="277"/>
    <s v="Fri"/>
    <x v="39"/>
    <x v="0"/>
    <m/>
    <m/>
    <m/>
    <s v="7:48"/>
    <d v="1904-01-01T00:00:00"/>
    <d v="1904-01-01T00:00:00"/>
    <m/>
  </r>
  <r>
    <x v="278"/>
    <s v="Sat"/>
    <x v="39"/>
    <x v="0"/>
    <m/>
    <m/>
    <m/>
    <s v="0:00"/>
    <d v="1904-01-01T00:00:00"/>
    <d v="1904-01-01T00:00:00"/>
    <m/>
  </r>
  <r>
    <x v="279"/>
    <s v="Sun"/>
    <x v="39"/>
    <x v="0"/>
    <m/>
    <m/>
    <m/>
    <s v="0:00"/>
    <d v="1904-01-01T00:00:00"/>
    <d v="1904-01-01T00:00:00"/>
    <m/>
  </r>
  <r>
    <x v="280"/>
    <s v="Mon"/>
    <x v="40"/>
    <x v="0"/>
    <m/>
    <m/>
    <m/>
    <s v="7:48"/>
    <d v="1904-01-01T00:00:00"/>
    <d v="1904-01-01T00:00:00"/>
    <m/>
  </r>
  <r>
    <x v="281"/>
    <s v="Tue"/>
    <x v="40"/>
    <x v="0"/>
    <m/>
    <m/>
    <m/>
    <s v="7:48"/>
    <d v="1904-01-01T00:00:00"/>
    <d v="1904-01-01T00:00:00"/>
    <m/>
  </r>
  <r>
    <x v="282"/>
    <s v="Wed"/>
    <x v="40"/>
    <x v="0"/>
    <m/>
    <m/>
    <m/>
    <s v="7:48"/>
    <d v="1904-01-01T00:00:00"/>
    <d v="1904-01-01T00:00:00"/>
    <m/>
  </r>
  <r>
    <x v="283"/>
    <s v="Thu"/>
    <x v="40"/>
    <x v="0"/>
    <m/>
    <m/>
    <m/>
    <s v="7:48"/>
    <d v="1904-01-01T00:00:00"/>
    <d v="1904-01-01T00:00:00"/>
    <m/>
  </r>
  <r>
    <x v="284"/>
    <s v="Fri"/>
    <x v="40"/>
    <x v="0"/>
    <m/>
    <m/>
    <m/>
    <s v="7:48"/>
    <d v="1904-01-01T00:00:00"/>
    <d v="1904-01-01T00:00:00"/>
    <m/>
  </r>
  <r>
    <x v="285"/>
    <s v="Sat"/>
    <x v="40"/>
    <x v="0"/>
    <m/>
    <m/>
    <m/>
    <s v="0:00"/>
    <d v="1904-01-01T00:00:00"/>
    <d v="1904-01-01T00:00:00"/>
    <m/>
  </r>
  <r>
    <x v="286"/>
    <s v="Sun"/>
    <x v="40"/>
    <x v="0"/>
    <m/>
    <m/>
    <m/>
    <s v="0:00"/>
    <d v="1904-01-01T00:00:00"/>
    <d v="1904-01-01T00:00:00"/>
    <m/>
  </r>
  <r>
    <x v="287"/>
    <s v="Mon"/>
    <x v="41"/>
    <x v="0"/>
    <m/>
    <m/>
    <m/>
    <s v="7:48"/>
    <d v="1904-01-01T00:00:00"/>
    <d v="1904-01-01T00:00:00"/>
    <m/>
  </r>
  <r>
    <x v="288"/>
    <s v="Tue"/>
    <x v="41"/>
    <x v="0"/>
    <m/>
    <m/>
    <m/>
    <s v="7:48"/>
    <d v="1904-01-01T00:00:00"/>
    <d v="1904-01-01T00:00:00"/>
    <m/>
  </r>
  <r>
    <x v="289"/>
    <s v="Wed"/>
    <x v="41"/>
    <x v="0"/>
    <m/>
    <m/>
    <m/>
    <s v="7:48"/>
    <d v="1904-01-01T00:00:00"/>
    <d v="1904-01-01T00:00:00"/>
    <m/>
  </r>
  <r>
    <x v="290"/>
    <s v="Thu"/>
    <x v="41"/>
    <x v="0"/>
    <m/>
    <m/>
    <m/>
    <s v="7:48"/>
    <d v="1904-01-01T00:00:00"/>
    <d v="1904-01-01T00:00:00"/>
    <m/>
  </r>
  <r>
    <x v="291"/>
    <s v="Fri"/>
    <x v="41"/>
    <x v="0"/>
    <m/>
    <m/>
    <m/>
    <s v="7:48"/>
    <d v="1904-01-01T00:00:00"/>
    <d v="1904-01-01T00:00:00"/>
    <m/>
  </r>
  <r>
    <x v="292"/>
    <s v="Sat"/>
    <x v="41"/>
    <x v="0"/>
    <m/>
    <m/>
    <m/>
    <s v="0:00"/>
    <d v="1904-01-01T00:00:00"/>
    <d v="1904-01-01T00:00:00"/>
    <m/>
  </r>
  <r>
    <x v="293"/>
    <s v="Sun"/>
    <x v="41"/>
    <x v="0"/>
    <m/>
    <m/>
    <m/>
    <s v="0:00"/>
    <d v="1904-01-01T00:00:00"/>
    <d v="1904-01-01T00:00:00"/>
    <m/>
  </r>
  <r>
    <x v="294"/>
    <s v="Mon"/>
    <x v="42"/>
    <x v="0"/>
    <m/>
    <m/>
    <m/>
    <s v="7:48"/>
    <d v="1904-01-01T00:00:00"/>
    <d v="1904-01-01T00:00:00"/>
    <m/>
  </r>
  <r>
    <x v="295"/>
    <s v="Tue"/>
    <x v="42"/>
    <x v="0"/>
    <m/>
    <m/>
    <m/>
    <s v="7:48"/>
    <d v="1904-01-01T00:00:00"/>
    <d v="1904-01-01T00:00:00"/>
    <m/>
  </r>
  <r>
    <x v="296"/>
    <s v="Wed"/>
    <x v="42"/>
    <x v="0"/>
    <m/>
    <m/>
    <m/>
    <s v="7:48"/>
    <d v="1904-01-01T00:00:00"/>
    <d v="1904-01-01T00:00:00"/>
    <m/>
  </r>
  <r>
    <x v="297"/>
    <s v="Thu"/>
    <x v="42"/>
    <x v="0"/>
    <m/>
    <m/>
    <m/>
    <s v="7:48"/>
    <d v="1904-01-01T00:00:00"/>
    <d v="1904-01-01T00:00:00"/>
    <m/>
  </r>
  <r>
    <x v="298"/>
    <s v="Fri"/>
    <x v="42"/>
    <x v="0"/>
    <m/>
    <m/>
    <m/>
    <s v="7:48"/>
    <d v="1904-01-01T00:00:00"/>
    <d v="1904-01-01T00:00:00"/>
    <m/>
  </r>
  <r>
    <x v="299"/>
    <s v="Sat"/>
    <x v="42"/>
    <x v="0"/>
    <m/>
    <m/>
    <m/>
    <s v="0:00"/>
    <d v="1904-01-01T00:00:00"/>
    <d v="1904-01-01T00:00:00"/>
    <m/>
  </r>
  <r>
    <x v="300"/>
    <s v="Sun"/>
    <x v="42"/>
    <x v="0"/>
    <m/>
    <m/>
    <m/>
    <s v="0:00"/>
    <d v="1904-01-01T00:00:00"/>
    <d v="1904-01-01T00:00:00"/>
    <m/>
  </r>
  <r>
    <x v="301"/>
    <s v="Mon"/>
    <x v="43"/>
    <x v="0"/>
    <m/>
    <m/>
    <m/>
    <s v="7:48"/>
    <d v="1904-01-01T00:00:00"/>
    <d v="1904-01-01T00:00:00"/>
    <m/>
  </r>
  <r>
    <x v="302"/>
    <s v="Tue"/>
    <x v="43"/>
    <x v="0"/>
    <m/>
    <m/>
    <m/>
    <s v="7:48"/>
    <d v="1904-01-01T00:00:00"/>
    <d v="1904-01-01T00:00:00"/>
    <m/>
  </r>
  <r>
    <x v="303"/>
    <s v="Wed"/>
    <x v="43"/>
    <x v="0"/>
    <m/>
    <m/>
    <m/>
    <s v="7:48"/>
    <d v="1904-01-01T00:00:00"/>
    <d v="1904-01-01T00:00:00"/>
    <m/>
  </r>
  <r>
    <x v="304"/>
    <s v="Thu"/>
    <x v="43"/>
    <x v="0"/>
    <m/>
    <m/>
    <m/>
    <s v="7:48"/>
    <d v="1904-01-01T00:00:00"/>
    <d v="1904-01-01T00:00:00"/>
    <m/>
  </r>
  <r>
    <x v="305"/>
    <s v="Fri"/>
    <x v="43"/>
    <x v="0"/>
    <m/>
    <m/>
    <m/>
    <s v="7:48"/>
    <d v="1904-01-01T00:00:00"/>
    <d v="1904-01-01T00:00:00"/>
    <m/>
  </r>
  <r>
    <x v="306"/>
    <s v="Sat"/>
    <x v="43"/>
    <x v="0"/>
    <m/>
    <m/>
    <m/>
    <s v="0:00"/>
    <d v="1904-01-01T00:00:00"/>
    <d v="1904-01-01T00:00:00"/>
    <m/>
  </r>
  <r>
    <x v="307"/>
    <s v="Sun"/>
    <x v="43"/>
    <x v="0"/>
    <m/>
    <m/>
    <m/>
    <s v="0:00"/>
    <d v="1904-01-01T00:00:00"/>
    <d v="1904-01-01T00:00:00"/>
    <m/>
  </r>
  <r>
    <x v="308"/>
    <s v="Mon"/>
    <x v="44"/>
    <x v="0"/>
    <m/>
    <m/>
    <m/>
    <s v="7:48"/>
    <d v="1904-01-01T00:00:00"/>
    <d v="1904-01-01T00:00:00"/>
    <m/>
  </r>
  <r>
    <x v="309"/>
    <s v="Tue"/>
    <x v="44"/>
    <x v="0"/>
    <m/>
    <m/>
    <m/>
    <s v="7:48"/>
    <d v="1904-01-01T00:00:00"/>
    <d v="1904-01-01T00:00:00"/>
    <m/>
  </r>
  <r>
    <x v="310"/>
    <s v="Wed"/>
    <x v="44"/>
    <x v="0"/>
    <m/>
    <m/>
    <m/>
    <s v="7:48"/>
    <d v="1904-01-01T00:00:00"/>
    <d v="1904-01-01T00:00:00"/>
    <m/>
  </r>
  <r>
    <x v="311"/>
    <s v="Thu"/>
    <x v="44"/>
    <x v="0"/>
    <m/>
    <m/>
    <m/>
    <s v="7:48"/>
    <d v="1904-01-01T00:00:00"/>
    <d v="1904-01-01T00:00:00"/>
    <m/>
  </r>
  <r>
    <x v="312"/>
    <s v="Fri"/>
    <x v="44"/>
    <x v="0"/>
    <m/>
    <m/>
    <m/>
    <s v="7:48"/>
    <d v="1904-01-01T00:00:00"/>
    <d v="1904-01-01T00:00:00"/>
    <m/>
  </r>
  <r>
    <x v="313"/>
    <s v="Sat"/>
    <x v="44"/>
    <x v="0"/>
    <m/>
    <m/>
    <m/>
    <s v="0:00"/>
    <d v="1904-01-01T00:00:00"/>
    <d v="1904-01-01T00:00:00"/>
    <m/>
  </r>
  <r>
    <x v="314"/>
    <s v="Sun"/>
    <x v="44"/>
    <x v="0"/>
    <m/>
    <m/>
    <m/>
    <s v="0:00"/>
    <d v="1904-01-01T00:00:00"/>
    <d v="1904-01-01T00:00:00"/>
    <m/>
  </r>
  <r>
    <x v="315"/>
    <s v="Mon"/>
    <x v="45"/>
    <x v="0"/>
    <m/>
    <m/>
    <m/>
    <s v="7:48"/>
    <d v="1904-01-01T00:00:00"/>
    <d v="1904-01-01T00:00:00"/>
    <m/>
  </r>
  <r>
    <x v="316"/>
    <s v="Tue"/>
    <x v="45"/>
    <x v="0"/>
    <m/>
    <m/>
    <m/>
    <s v="7:48"/>
    <d v="1904-01-01T00:00:00"/>
    <d v="1904-01-01T00:00:00"/>
    <m/>
  </r>
  <r>
    <x v="317"/>
    <s v="Wed"/>
    <x v="45"/>
    <x v="0"/>
    <m/>
    <m/>
    <m/>
    <s v="7:48"/>
    <d v="1904-01-01T00:00:00"/>
    <d v="1904-01-01T00:00:00"/>
    <m/>
  </r>
  <r>
    <x v="318"/>
    <s v="Thu"/>
    <x v="45"/>
    <x v="0"/>
    <m/>
    <m/>
    <m/>
    <s v="7:48"/>
    <d v="1904-01-01T00:00:00"/>
    <d v="1904-01-01T00:00:00"/>
    <m/>
  </r>
  <r>
    <x v="319"/>
    <s v="Fri"/>
    <x v="45"/>
    <x v="0"/>
    <m/>
    <m/>
    <m/>
    <s v="7:48"/>
    <d v="1904-01-01T00:00:00"/>
    <d v="1904-01-01T00:00:00"/>
    <m/>
  </r>
  <r>
    <x v="320"/>
    <s v="Sat"/>
    <x v="45"/>
    <x v="0"/>
    <m/>
    <m/>
    <m/>
    <s v="0:00"/>
    <d v="1904-01-01T00:00:00"/>
    <d v="1904-01-01T00:00:00"/>
    <m/>
  </r>
  <r>
    <x v="321"/>
    <s v="Sun"/>
    <x v="45"/>
    <x v="0"/>
    <m/>
    <m/>
    <m/>
    <s v="0:00"/>
    <d v="1904-01-01T00:00:00"/>
    <d v="1904-01-01T00:00:00"/>
    <m/>
  </r>
  <r>
    <x v="322"/>
    <s v="Mon"/>
    <x v="46"/>
    <x v="0"/>
    <m/>
    <m/>
    <m/>
    <s v="7:48"/>
    <d v="1904-01-01T00:00:00"/>
    <d v="1904-01-01T00:00:00"/>
    <m/>
  </r>
  <r>
    <x v="323"/>
    <s v="Tue"/>
    <x v="46"/>
    <x v="0"/>
    <m/>
    <m/>
    <m/>
    <s v="7:48"/>
    <d v="1904-01-01T00:00:00"/>
    <d v="1904-01-01T00:00:00"/>
    <m/>
  </r>
  <r>
    <x v="324"/>
    <s v="Wed"/>
    <x v="46"/>
    <x v="0"/>
    <m/>
    <m/>
    <m/>
    <s v="7:48"/>
    <d v="1904-01-01T00:00:00"/>
    <d v="1904-01-01T00:00:00"/>
    <m/>
  </r>
  <r>
    <x v="325"/>
    <s v="Thu"/>
    <x v="46"/>
    <x v="0"/>
    <m/>
    <m/>
    <m/>
    <s v="7:48"/>
    <d v="1904-01-01T00:00:00"/>
    <d v="1904-01-01T00:00:00"/>
    <m/>
  </r>
  <r>
    <x v="326"/>
    <s v="Fri"/>
    <x v="46"/>
    <x v="0"/>
    <m/>
    <m/>
    <m/>
    <s v="7:48"/>
    <d v="1904-01-01T00:00:00"/>
    <d v="1904-01-01T00:00:00"/>
    <m/>
  </r>
  <r>
    <x v="327"/>
    <s v="Sat"/>
    <x v="46"/>
    <x v="0"/>
    <m/>
    <m/>
    <m/>
    <s v="0:00"/>
    <d v="1904-01-01T00:00:00"/>
    <d v="1904-01-01T00:00:00"/>
    <m/>
  </r>
  <r>
    <x v="328"/>
    <s v="Sun"/>
    <x v="46"/>
    <x v="0"/>
    <m/>
    <m/>
    <m/>
    <s v="0:00"/>
    <d v="1904-01-01T00:00:00"/>
    <d v="1904-01-01T00:00:00"/>
    <m/>
  </r>
  <r>
    <x v="329"/>
    <s v="Mon"/>
    <x v="47"/>
    <x v="0"/>
    <m/>
    <m/>
    <m/>
    <s v="7:48"/>
    <d v="1904-01-01T00:00:00"/>
    <d v="1904-01-01T00:00:00"/>
    <m/>
  </r>
  <r>
    <x v="330"/>
    <s v="Tue"/>
    <x v="47"/>
    <x v="0"/>
    <m/>
    <m/>
    <m/>
    <s v="7:48"/>
    <d v="1904-01-01T00:00:00"/>
    <d v="1904-01-01T00:00:00"/>
    <m/>
  </r>
  <r>
    <x v="331"/>
    <s v="Wed"/>
    <x v="47"/>
    <x v="0"/>
    <m/>
    <m/>
    <m/>
    <s v="7:48"/>
    <d v="1904-01-01T00:00:00"/>
    <d v="1904-01-01T00:00:00"/>
    <m/>
  </r>
  <r>
    <x v="332"/>
    <s v="Thu"/>
    <x v="47"/>
    <x v="0"/>
    <m/>
    <m/>
    <m/>
    <s v="7:48"/>
    <d v="1904-01-01T00:00:00"/>
    <d v="1904-01-01T00:00:00"/>
    <m/>
  </r>
  <r>
    <x v="333"/>
    <s v="Fri"/>
    <x v="47"/>
    <x v="0"/>
    <m/>
    <m/>
    <m/>
    <s v="7:48"/>
    <d v="1904-01-01T00:00:00"/>
    <d v="1904-01-01T00:00:00"/>
    <m/>
  </r>
  <r>
    <x v="334"/>
    <s v="Sat"/>
    <x v="47"/>
    <x v="0"/>
    <m/>
    <m/>
    <m/>
    <s v="0:00"/>
    <d v="1904-01-01T00:00:00"/>
    <d v="1904-01-01T00:00:00"/>
    <m/>
  </r>
  <r>
    <x v="335"/>
    <s v="Sun"/>
    <x v="47"/>
    <x v="0"/>
    <m/>
    <m/>
    <m/>
    <s v="0:00"/>
    <d v="1904-01-01T00:00:00"/>
    <d v="1904-01-01T00:00:00"/>
    <m/>
  </r>
  <r>
    <x v="336"/>
    <s v="Mon"/>
    <x v="48"/>
    <x v="0"/>
    <m/>
    <m/>
    <m/>
    <s v="7:48"/>
    <d v="1904-01-01T00:00:00"/>
    <d v="1904-01-01T00:00:00"/>
    <m/>
  </r>
  <r>
    <x v="337"/>
    <s v="Tue"/>
    <x v="48"/>
    <x v="0"/>
    <m/>
    <m/>
    <m/>
    <s v="7:48"/>
    <d v="1904-01-01T00:00:00"/>
    <d v="1904-01-01T00:00:00"/>
    <m/>
  </r>
  <r>
    <x v="338"/>
    <s v="Wed"/>
    <x v="48"/>
    <x v="0"/>
    <m/>
    <m/>
    <m/>
    <s v="7:48"/>
    <d v="1904-01-01T00:00:00"/>
    <d v="1904-01-01T00:00:00"/>
    <m/>
  </r>
  <r>
    <x v="339"/>
    <s v="Thu"/>
    <x v="48"/>
    <x v="0"/>
    <m/>
    <m/>
    <m/>
    <s v="7:48"/>
    <d v="1904-01-01T00:00:00"/>
    <d v="1904-01-01T00:00:00"/>
    <m/>
  </r>
  <r>
    <x v="340"/>
    <s v="Fri"/>
    <x v="48"/>
    <x v="0"/>
    <m/>
    <m/>
    <m/>
    <s v="7:48"/>
    <d v="1904-01-01T00:00:00"/>
    <d v="1904-01-01T00:00:00"/>
    <m/>
  </r>
  <r>
    <x v="341"/>
    <s v="Sat"/>
    <x v="48"/>
    <x v="0"/>
    <m/>
    <m/>
    <m/>
    <s v="0:00"/>
    <d v="1904-01-01T00:00:00"/>
    <d v="1904-01-01T00:00:00"/>
    <m/>
  </r>
  <r>
    <x v="342"/>
    <s v="Sun"/>
    <x v="48"/>
    <x v="0"/>
    <m/>
    <m/>
    <m/>
    <s v="0:00"/>
    <d v="1904-01-01T00:00:00"/>
    <d v="1904-01-01T00:00:00"/>
    <m/>
  </r>
  <r>
    <x v="343"/>
    <s v="Mon"/>
    <x v="49"/>
    <x v="0"/>
    <m/>
    <m/>
    <m/>
    <s v="7:48"/>
    <d v="1904-01-01T00:00:00"/>
    <d v="1904-01-01T00:00:00"/>
    <m/>
  </r>
  <r>
    <x v="344"/>
    <s v="Tue"/>
    <x v="49"/>
    <x v="0"/>
    <m/>
    <m/>
    <m/>
    <s v="7:48"/>
    <d v="1904-01-01T00:00:00"/>
    <d v="1904-01-01T00:00:00"/>
    <m/>
  </r>
  <r>
    <x v="345"/>
    <s v="Wed"/>
    <x v="49"/>
    <x v="0"/>
    <m/>
    <m/>
    <m/>
    <s v="7:48"/>
    <d v="1904-01-01T00:00:00"/>
    <d v="1904-01-01T00:00:00"/>
    <m/>
  </r>
  <r>
    <x v="346"/>
    <s v="Thu"/>
    <x v="49"/>
    <x v="0"/>
    <m/>
    <m/>
    <m/>
    <s v="7:48"/>
    <d v="1904-01-01T00:00:00"/>
    <d v="1904-01-01T00:00:00"/>
    <m/>
  </r>
  <r>
    <x v="347"/>
    <s v="Fri"/>
    <x v="49"/>
    <x v="0"/>
    <m/>
    <m/>
    <m/>
    <s v="7:48"/>
    <d v="1904-01-01T00:00:00"/>
    <d v="1904-01-01T00:00:00"/>
    <m/>
  </r>
  <r>
    <x v="348"/>
    <s v="Sat"/>
    <x v="49"/>
    <x v="0"/>
    <m/>
    <m/>
    <m/>
    <s v="0:00"/>
    <d v="1904-01-01T00:00:00"/>
    <d v="1904-01-01T00:00:00"/>
    <m/>
  </r>
  <r>
    <x v="349"/>
    <s v="Sun"/>
    <x v="49"/>
    <x v="0"/>
    <m/>
    <m/>
    <m/>
    <s v="0:00"/>
    <d v="1904-01-01T00:00:00"/>
    <d v="1904-01-01T00:00:00"/>
    <m/>
  </r>
  <r>
    <x v="350"/>
    <s v="Mon"/>
    <x v="50"/>
    <x v="0"/>
    <m/>
    <m/>
    <m/>
    <s v="7:48"/>
    <d v="1904-01-01T00:00:00"/>
    <d v="1904-01-01T00:00:00"/>
    <m/>
  </r>
  <r>
    <x v="351"/>
    <s v="Tue"/>
    <x v="50"/>
    <x v="0"/>
    <m/>
    <m/>
    <m/>
    <s v="7:48"/>
    <d v="1904-01-01T00:00:00"/>
    <d v="1904-01-01T00:00:00"/>
    <m/>
  </r>
  <r>
    <x v="352"/>
    <s v="Wed"/>
    <x v="50"/>
    <x v="0"/>
    <m/>
    <m/>
    <m/>
    <s v="7:48"/>
    <d v="1904-01-01T00:00:00"/>
    <d v="1904-01-01T00:00:00"/>
    <m/>
  </r>
  <r>
    <x v="353"/>
    <s v="Thu"/>
    <x v="50"/>
    <x v="0"/>
    <m/>
    <m/>
    <m/>
    <s v="7:48"/>
    <d v="1904-01-01T00:00:00"/>
    <d v="1904-01-01T00:00:00"/>
    <m/>
  </r>
  <r>
    <x v="354"/>
    <s v="Fri"/>
    <x v="50"/>
    <x v="0"/>
    <m/>
    <m/>
    <m/>
    <s v="7:48"/>
    <d v="1904-01-01T00:00:00"/>
    <d v="1904-01-01T00:00:00"/>
    <m/>
  </r>
  <r>
    <x v="355"/>
    <s v="Sat"/>
    <x v="50"/>
    <x v="0"/>
    <m/>
    <m/>
    <m/>
    <s v="0:00"/>
    <d v="1904-01-01T00:00:00"/>
    <d v="1904-01-01T00:00:00"/>
    <m/>
  </r>
  <r>
    <x v="356"/>
    <s v="Sun"/>
    <x v="50"/>
    <x v="0"/>
    <m/>
    <m/>
    <m/>
    <s v="0:00"/>
    <d v="1904-01-01T00:00:00"/>
    <d v="1904-01-01T00:00:00"/>
    <m/>
  </r>
  <r>
    <x v="357"/>
    <s v="Mon"/>
    <x v="51"/>
    <x v="0"/>
    <m/>
    <m/>
    <m/>
    <s v="7:48"/>
    <d v="1904-01-01T00:00:00"/>
    <d v="1904-01-01T00:00:00"/>
    <m/>
  </r>
  <r>
    <x v="358"/>
    <s v="Tue"/>
    <x v="51"/>
    <x v="0"/>
    <m/>
    <m/>
    <m/>
    <s v="7:48"/>
    <d v="1904-01-01T00:00:00"/>
    <d v="1904-01-01T00:00:00"/>
    <m/>
  </r>
  <r>
    <x v="359"/>
    <s v="Wed"/>
    <x v="51"/>
    <x v="0"/>
    <m/>
    <m/>
    <m/>
    <s v="7:48"/>
    <d v="1904-01-01T00:00:00"/>
    <d v="1904-01-01T00:00:00"/>
    <m/>
  </r>
  <r>
    <x v="360"/>
    <s v="Thu"/>
    <x v="51"/>
    <x v="0"/>
    <m/>
    <m/>
    <m/>
    <s v="7:48"/>
    <d v="1904-01-01T00:00:00"/>
    <d v="1904-01-01T00:00:00"/>
    <m/>
  </r>
  <r>
    <x v="361"/>
    <s v="Fri"/>
    <x v="51"/>
    <x v="0"/>
    <m/>
    <m/>
    <m/>
    <s v="7:48"/>
    <d v="1904-01-01T00:00:00"/>
    <d v="1904-01-01T00:00:00"/>
    <m/>
  </r>
  <r>
    <x v="362"/>
    <s v="Sat"/>
    <x v="51"/>
    <x v="0"/>
    <m/>
    <m/>
    <m/>
    <s v="0:00"/>
    <d v="1904-01-01T00:00:00"/>
    <d v="1904-01-01T00:00:00"/>
    <m/>
  </r>
  <r>
    <x v="363"/>
    <s v="Sun"/>
    <x v="51"/>
    <x v="0"/>
    <m/>
    <m/>
    <m/>
    <s v="0:00"/>
    <d v="1904-01-01T00:00:00"/>
    <d v="1904-01-01T00:00:00"/>
    <m/>
  </r>
  <r>
    <x v="364"/>
    <s v="Mon"/>
    <x v="0"/>
    <x v="0"/>
    <m/>
    <m/>
    <m/>
    <s v="7:48"/>
    <d v="1904-01-01T00:00:00"/>
    <d v="1904-01-01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97D9AF-29A6-413A-B3A8-BEA19208C843}" name="hrs_worked" cacheId="10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G11" firstHeaderRow="1" firstDataRow="4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axis="axisCol" showAll="0">
      <items count="7">
        <item x="1"/>
        <item x="2"/>
        <item x="4"/>
        <item x="5"/>
        <item x="3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x="9"/>
        <item sd="0" x="10"/>
        <item sd="0" x="11"/>
        <item sd="0" x="12"/>
        <item sd="0" x="13"/>
        <item t="default"/>
      </items>
    </pivotField>
    <pivotField axis="axisCol"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5">
    <i>
      <x v="9"/>
    </i>
    <i r="1">
      <x v="36"/>
    </i>
    <i r="1">
      <x v="37"/>
    </i>
    <i r="1">
      <x v="38"/>
    </i>
    <i t="grand">
      <x/>
    </i>
  </rowItems>
  <colFields count="3">
    <field x="-2"/>
    <field x="12"/>
    <field x="3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Sum of ACTUAL working hours" fld="8" baseField="11" baseItem="1" numFmtId="165"/>
    <dataField name="Sum of +/-" fld="9" baseField="11" baseItem="1" numFmtId="165"/>
  </dataFields>
  <formats count="2">
    <format dxfId="1">
      <pivotArea field="-2" type="button" dataOnly="0" labelOnly="1" outline="0" axis="axisCol" fieldPosition="0"/>
    </format>
    <format dxfId="0">
      <pivotArea field="11" type="button" dataOnly="0" labelOnly="1" outline="0" axis="axisRow" fieldPosition="0"/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M366"/>
  <sheetViews>
    <sheetView tabSelected="1" workbookViewId="0">
      <pane ySplit="1" topLeftCell="A267" activePane="bottomLeft" state="frozen"/>
      <selection pane="bottomLeft" activeCell="A282" sqref="A282"/>
    </sheetView>
  </sheetViews>
  <sheetFormatPr defaultColWidth="9.140625" defaultRowHeight="15" x14ac:dyDescent="0.25"/>
  <cols>
    <col min="1" max="1" width="12" style="4" customWidth="1"/>
    <col min="2" max="2" width="10.140625" style="13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4" customWidth="1"/>
    <col min="10" max="10" width="13" style="8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5" t="s">
        <v>7</v>
      </c>
      <c r="B1" s="16" t="s">
        <v>8</v>
      </c>
      <c r="C1" s="15" t="s">
        <v>17</v>
      </c>
      <c r="D1" s="17" t="s">
        <v>9</v>
      </c>
      <c r="E1" s="18" t="s">
        <v>0</v>
      </c>
      <c r="F1" s="18" t="s">
        <v>10</v>
      </c>
      <c r="G1" s="19" t="s">
        <v>11</v>
      </c>
      <c r="H1" s="20" t="s">
        <v>13</v>
      </c>
      <c r="I1" s="20" t="s">
        <v>14</v>
      </c>
      <c r="J1" s="17" t="s">
        <v>1</v>
      </c>
      <c r="K1" s="21" t="s">
        <v>12</v>
      </c>
      <c r="L1" s="5"/>
    </row>
    <row r="2" spans="1:13" x14ac:dyDescent="0.25">
      <c r="A2" s="3">
        <v>41639</v>
      </c>
      <c r="B2" s="13" t="str">
        <f t="shared" ref="B2:B65" si="0">CHOOSE(WEEKDAY($A2,2),"Mon","Tue","Wed","Thu","Fri","Sat","Sun")</f>
        <v>Mon</v>
      </c>
      <c r="C2" s="7">
        <f t="shared" ref="C2:C65" si="1">_xlfn.ISOWEEKNUM($A2)</f>
        <v>1</v>
      </c>
      <c r="H2" s="14" t="str">
        <f t="shared" ref="H2:H65" si="2">IF(WEEKDAY($A2,2)&lt;=5,"7:48","0:00")</f>
        <v>7:48</v>
      </c>
      <c r="I2" s="14">
        <f t="shared" ref="I2:I65" si="3">IF(COUNTIF(nonprod_types, $D2)&gt;0, "7:48", ($F2-$E2)-$G2)</f>
        <v>0</v>
      </c>
      <c r="J2" s="8">
        <f t="shared" ref="J2:J65" si="4">IF(D2="",0,$I2-$H2)</f>
        <v>0</v>
      </c>
    </row>
    <row r="3" spans="1:13" x14ac:dyDescent="0.25">
      <c r="A3" s="3">
        <v>41640</v>
      </c>
      <c r="B3" s="13" t="str">
        <f t="shared" si="0"/>
        <v>Tue</v>
      </c>
      <c r="C3" s="7">
        <f t="shared" si="1"/>
        <v>1</v>
      </c>
      <c r="H3" s="14" t="str">
        <f t="shared" si="2"/>
        <v>7:48</v>
      </c>
      <c r="I3" s="14">
        <f t="shared" si="3"/>
        <v>0</v>
      </c>
      <c r="J3" s="8">
        <f t="shared" si="4"/>
        <v>0</v>
      </c>
      <c r="M3" s="3"/>
    </row>
    <row r="4" spans="1:13" x14ac:dyDescent="0.25">
      <c r="A4" s="3">
        <v>41641</v>
      </c>
      <c r="B4" s="13" t="str">
        <f t="shared" si="0"/>
        <v>Wed</v>
      </c>
      <c r="C4" s="7">
        <f t="shared" si="1"/>
        <v>1</v>
      </c>
      <c r="H4" s="14" t="str">
        <f t="shared" si="2"/>
        <v>7:48</v>
      </c>
      <c r="I4" s="14">
        <f t="shared" si="3"/>
        <v>0</v>
      </c>
      <c r="J4" s="8">
        <f t="shared" si="4"/>
        <v>0</v>
      </c>
    </row>
    <row r="5" spans="1:13" x14ac:dyDescent="0.25">
      <c r="A5" s="3">
        <v>41642</v>
      </c>
      <c r="B5" s="13" t="str">
        <f t="shared" si="0"/>
        <v>Thu</v>
      </c>
      <c r="C5" s="7">
        <f t="shared" si="1"/>
        <v>1</v>
      </c>
      <c r="H5" s="14" t="str">
        <f t="shared" si="2"/>
        <v>7:48</v>
      </c>
      <c r="I5" s="14">
        <f t="shared" si="3"/>
        <v>0</v>
      </c>
      <c r="J5" s="8">
        <f t="shared" si="4"/>
        <v>0</v>
      </c>
    </row>
    <row r="6" spans="1:13" x14ac:dyDescent="0.25">
      <c r="A6" s="3">
        <v>41643</v>
      </c>
      <c r="B6" s="13" t="str">
        <f t="shared" si="0"/>
        <v>Fri</v>
      </c>
      <c r="C6" s="7">
        <f t="shared" si="1"/>
        <v>1</v>
      </c>
      <c r="H6" s="14" t="str">
        <f t="shared" si="2"/>
        <v>7:48</v>
      </c>
      <c r="I6" s="14">
        <f t="shared" si="3"/>
        <v>0</v>
      </c>
      <c r="J6" s="8">
        <f t="shared" si="4"/>
        <v>0</v>
      </c>
    </row>
    <row r="7" spans="1:13" x14ac:dyDescent="0.25">
      <c r="A7" s="3">
        <v>41644</v>
      </c>
      <c r="B7" s="13" t="str">
        <f t="shared" si="0"/>
        <v>Sat</v>
      </c>
      <c r="C7" s="7">
        <f t="shared" si="1"/>
        <v>1</v>
      </c>
      <c r="H7" s="14" t="str">
        <f t="shared" si="2"/>
        <v>0:00</v>
      </c>
      <c r="I7" s="14">
        <f t="shared" si="3"/>
        <v>0</v>
      </c>
      <c r="J7" s="8">
        <f t="shared" si="4"/>
        <v>0</v>
      </c>
    </row>
    <row r="8" spans="1:13" x14ac:dyDescent="0.25">
      <c r="A8" s="3">
        <v>41645</v>
      </c>
      <c r="B8" s="13" t="str">
        <f t="shared" si="0"/>
        <v>Sun</v>
      </c>
      <c r="C8" s="7">
        <f t="shared" si="1"/>
        <v>1</v>
      </c>
      <c r="H8" s="14" t="str">
        <f t="shared" si="2"/>
        <v>0:00</v>
      </c>
      <c r="I8" s="14">
        <f t="shared" si="3"/>
        <v>0</v>
      </c>
      <c r="J8" s="8">
        <f t="shared" si="4"/>
        <v>0</v>
      </c>
    </row>
    <row r="9" spans="1:13" x14ac:dyDescent="0.25">
      <c r="A9" s="3">
        <v>41646</v>
      </c>
      <c r="B9" s="13" t="str">
        <f t="shared" si="0"/>
        <v>Mon</v>
      </c>
      <c r="C9" s="7">
        <f t="shared" si="1"/>
        <v>2</v>
      </c>
      <c r="H9" s="14" t="str">
        <f t="shared" si="2"/>
        <v>7:48</v>
      </c>
      <c r="I9" s="14">
        <f t="shared" si="3"/>
        <v>0</v>
      </c>
      <c r="J9" s="8">
        <f t="shared" si="4"/>
        <v>0</v>
      </c>
    </row>
    <row r="10" spans="1:13" x14ac:dyDescent="0.25">
      <c r="A10" s="3">
        <v>41647</v>
      </c>
      <c r="B10" s="13" t="str">
        <f t="shared" si="0"/>
        <v>Tue</v>
      </c>
      <c r="C10" s="7">
        <f t="shared" si="1"/>
        <v>2</v>
      </c>
      <c r="H10" s="14" t="str">
        <f t="shared" si="2"/>
        <v>7:48</v>
      </c>
      <c r="I10" s="14">
        <f t="shared" si="3"/>
        <v>0</v>
      </c>
      <c r="J10" s="8">
        <f t="shared" si="4"/>
        <v>0</v>
      </c>
    </row>
    <row r="11" spans="1:13" x14ac:dyDescent="0.25">
      <c r="A11" s="3">
        <v>41648</v>
      </c>
      <c r="B11" s="13" t="str">
        <f t="shared" si="0"/>
        <v>Wed</v>
      </c>
      <c r="C11" s="7">
        <f t="shared" si="1"/>
        <v>2</v>
      </c>
      <c r="H11" s="14" t="str">
        <f t="shared" si="2"/>
        <v>7:48</v>
      </c>
      <c r="I11" s="14">
        <f t="shared" si="3"/>
        <v>0</v>
      </c>
      <c r="J11" s="8">
        <f t="shared" si="4"/>
        <v>0</v>
      </c>
    </row>
    <row r="12" spans="1:13" x14ac:dyDescent="0.25">
      <c r="A12" s="3">
        <v>41649</v>
      </c>
      <c r="B12" s="13" t="str">
        <f t="shared" si="0"/>
        <v>Thu</v>
      </c>
      <c r="C12" s="7">
        <f t="shared" si="1"/>
        <v>2</v>
      </c>
      <c r="H12" s="14" t="str">
        <f t="shared" si="2"/>
        <v>7:48</v>
      </c>
      <c r="I12" s="14">
        <f t="shared" si="3"/>
        <v>0</v>
      </c>
      <c r="J12" s="8">
        <f t="shared" si="4"/>
        <v>0</v>
      </c>
    </row>
    <row r="13" spans="1:13" x14ac:dyDescent="0.25">
      <c r="A13" s="3">
        <v>41650</v>
      </c>
      <c r="B13" s="13" t="str">
        <f t="shared" si="0"/>
        <v>Fri</v>
      </c>
      <c r="C13" s="7">
        <f t="shared" si="1"/>
        <v>2</v>
      </c>
      <c r="H13" s="14" t="str">
        <f t="shared" si="2"/>
        <v>7:48</v>
      </c>
      <c r="I13" s="14">
        <f t="shared" si="3"/>
        <v>0</v>
      </c>
      <c r="J13" s="8">
        <f t="shared" si="4"/>
        <v>0</v>
      </c>
    </row>
    <row r="14" spans="1:13" x14ac:dyDescent="0.25">
      <c r="A14" s="3">
        <v>41651</v>
      </c>
      <c r="B14" s="13" t="str">
        <f t="shared" si="0"/>
        <v>Sat</v>
      </c>
      <c r="C14" s="7">
        <f t="shared" si="1"/>
        <v>2</v>
      </c>
      <c r="H14" s="14" t="str">
        <f t="shared" si="2"/>
        <v>0:00</v>
      </c>
      <c r="I14" s="14">
        <f t="shared" si="3"/>
        <v>0</v>
      </c>
      <c r="J14" s="8">
        <f t="shared" si="4"/>
        <v>0</v>
      </c>
    </row>
    <row r="15" spans="1:13" x14ac:dyDescent="0.25">
      <c r="A15" s="3">
        <v>41652</v>
      </c>
      <c r="B15" s="13" t="str">
        <f t="shared" si="0"/>
        <v>Sun</v>
      </c>
      <c r="C15" s="7">
        <f t="shared" si="1"/>
        <v>2</v>
      </c>
      <c r="H15" s="14" t="str">
        <f t="shared" si="2"/>
        <v>0:00</v>
      </c>
      <c r="I15" s="14">
        <f t="shared" si="3"/>
        <v>0</v>
      </c>
      <c r="J15" s="8">
        <f t="shared" si="4"/>
        <v>0</v>
      </c>
    </row>
    <row r="16" spans="1:13" x14ac:dyDescent="0.25">
      <c r="A16" s="3">
        <v>41653</v>
      </c>
      <c r="B16" s="13" t="str">
        <f t="shared" si="0"/>
        <v>Mon</v>
      </c>
      <c r="C16" s="7">
        <f t="shared" si="1"/>
        <v>3</v>
      </c>
      <c r="H16" s="14" t="str">
        <f t="shared" si="2"/>
        <v>7:48</v>
      </c>
      <c r="I16" s="14">
        <f t="shared" si="3"/>
        <v>0</v>
      </c>
      <c r="J16" s="8">
        <f t="shared" si="4"/>
        <v>0</v>
      </c>
    </row>
    <row r="17" spans="1:10" x14ac:dyDescent="0.25">
      <c r="A17" s="3">
        <v>41654</v>
      </c>
      <c r="B17" s="13" t="str">
        <f t="shared" si="0"/>
        <v>Tue</v>
      </c>
      <c r="C17" s="7">
        <f t="shared" si="1"/>
        <v>3</v>
      </c>
      <c r="H17" s="14" t="str">
        <f t="shared" si="2"/>
        <v>7:48</v>
      </c>
      <c r="I17" s="14">
        <f t="shared" si="3"/>
        <v>0</v>
      </c>
      <c r="J17" s="8">
        <f t="shared" si="4"/>
        <v>0</v>
      </c>
    </row>
    <row r="18" spans="1:10" x14ac:dyDescent="0.25">
      <c r="A18" s="3">
        <v>41655</v>
      </c>
      <c r="B18" s="13" t="str">
        <f t="shared" si="0"/>
        <v>Wed</v>
      </c>
      <c r="C18" s="7">
        <f t="shared" si="1"/>
        <v>3</v>
      </c>
      <c r="H18" s="14" t="str">
        <f t="shared" si="2"/>
        <v>7:48</v>
      </c>
      <c r="I18" s="14">
        <f t="shared" si="3"/>
        <v>0</v>
      </c>
      <c r="J18" s="8">
        <f t="shared" si="4"/>
        <v>0</v>
      </c>
    </row>
    <row r="19" spans="1:10" x14ac:dyDescent="0.25">
      <c r="A19" s="3">
        <v>41656</v>
      </c>
      <c r="B19" s="13" t="str">
        <f t="shared" si="0"/>
        <v>Thu</v>
      </c>
      <c r="C19" s="7">
        <f t="shared" si="1"/>
        <v>3</v>
      </c>
      <c r="H19" s="14" t="str">
        <f t="shared" si="2"/>
        <v>7:48</v>
      </c>
      <c r="I19" s="14">
        <f t="shared" si="3"/>
        <v>0</v>
      </c>
      <c r="J19" s="8">
        <f t="shared" si="4"/>
        <v>0</v>
      </c>
    </row>
    <row r="20" spans="1:10" x14ac:dyDescent="0.25">
      <c r="A20" s="3">
        <v>41657</v>
      </c>
      <c r="B20" s="13" t="str">
        <f t="shared" si="0"/>
        <v>Fri</v>
      </c>
      <c r="C20" s="7">
        <f t="shared" si="1"/>
        <v>3</v>
      </c>
      <c r="H20" s="14" t="str">
        <f t="shared" si="2"/>
        <v>7:48</v>
      </c>
      <c r="I20" s="14">
        <f t="shared" si="3"/>
        <v>0</v>
      </c>
      <c r="J20" s="8">
        <f t="shared" si="4"/>
        <v>0</v>
      </c>
    </row>
    <row r="21" spans="1:10" x14ac:dyDescent="0.25">
      <c r="A21" s="3">
        <v>41658</v>
      </c>
      <c r="B21" s="13" t="str">
        <f t="shared" si="0"/>
        <v>Sat</v>
      </c>
      <c r="C21" s="7">
        <f t="shared" si="1"/>
        <v>3</v>
      </c>
      <c r="H21" s="14" t="str">
        <f t="shared" si="2"/>
        <v>0:00</v>
      </c>
      <c r="I21" s="14">
        <f t="shared" si="3"/>
        <v>0</v>
      </c>
      <c r="J21" s="8">
        <f t="shared" si="4"/>
        <v>0</v>
      </c>
    </row>
    <row r="22" spans="1:10" x14ac:dyDescent="0.25">
      <c r="A22" s="3">
        <v>41659</v>
      </c>
      <c r="B22" s="13" t="str">
        <f t="shared" si="0"/>
        <v>Sun</v>
      </c>
      <c r="C22" s="7">
        <f t="shared" si="1"/>
        <v>3</v>
      </c>
      <c r="H22" s="14" t="str">
        <f t="shared" si="2"/>
        <v>0:00</v>
      </c>
      <c r="I22" s="14">
        <f t="shared" si="3"/>
        <v>0</v>
      </c>
      <c r="J22" s="8">
        <f t="shared" si="4"/>
        <v>0</v>
      </c>
    </row>
    <row r="23" spans="1:10" x14ac:dyDescent="0.25">
      <c r="A23" s="3">
        <v>41660</v>
      </c>
      <c r="B23" s="13" t="str">
        <f t="shared" si="0"/>
        <v>Mon</v>
      </c>
      <c r="C23" s="7">
        <f t="shared" si="1"/>
        <v>4</v>
      </c>
      <c r="H23" s="14" t="str">
        <f t="shared" si="2"/>
        <v>7:48</v>
      </c>
      <c r="I23" s="14">
        <f t="shared" si="3"/>
        <v>0</v>
      </c>
      <c r="J23" s="8">
        <f t="shared" si="4"/>
        <v>0</v>
      </c>
    </row>
    <row r="24" spans="1:10" x14ac:dyDescent="0.25">
      <c r="A24" s="3">
        <v>41661</v>
      </c>
      <c r="B24" s="13" t="str">
        <f t="shared" si="0"/>
        <v>Tue</v>
      </c>
      <c r="C24" s="7">
        <f t="shared" si="1"/>
        <v>4</v>
      </c>
      <c r="H24" s="14" t="str">
        <f t="shared" si="2"/>
        <v>7:48</v>
      </c>
      <c r="I24" s="14">
        <f t="shared" si="3"/>
        <v>0</v>
      </c>
      <c r="J24" s="8">
        <f t="shared" si="4"/>
        <v>0</v>
      </c>
    </row>
    <row r="25" spans="1:10" x14ac:dyDescent="0.25">
      <c r="A25" s="3">
        <v>41662</v>
      </c>
      <c r="B25" s="13" t="str">
        <f t="shared" si="0"/>
        <v>Wed</v>
      </c>
      <c r="C25" s="7">
        <f t="shared" si="1"/>
        <v>4</v>
      </c>
      <c r="H25" s="14" t="str">
        <f t="shared" si="2"/>
        <v>7:48</v>
      </c>
      <c r="I25" s="14">
        <f t="shared" si="3"/>
        <v>0</v>
      </c>
      <c r="J25" s="8">
        <f t="shared" si="4"/>
        <v>0</v>
      </c>
    </row>
    <row r="26" spans="1:10" x14ac:dyDescent="0.25">
      <c r="A26" s="3">
        <v>41663</v>
      </c>
      <c r="B26" s="13" t="str">
        <f t="shared" si="0"/>
        <v>Thu</v>
      </c>
      <c r="C26" s="7">
        <f t="shared" si="1"/>
        <v>4</v>
      </c>
      <c r="H26" s="14" t="str">
        <f t="shared" si="2"/>
        <v>7:48</v>
      </c>
      <c r="I26" s="14">
        <f t="shared" si="3"/>
        <v>0</v>
      </c>
      <c r="J26" s="8">
        <f t="shared" si="4"/>
        <v>0</v>
      </c>
    </row>
    <row r="27" spans="1:10" x14ac:dyDescent="0.25">
      <c r="A27" s="3">
        <v>41664</v>
      </c>
      <c r="B27" s="13" t="str">
        <f t="shared" si="0"/>
        <v>Fri</v>
      </c>
      <c r="C27" s="7">
        <f t="shared" si="1"/>
        <v>4</v>
      </c>
      <c r="H27" s="14" t="str">
        <f t="shared" si="2"/>
        <v>7:48</v>
      </c>
      <c r="I27" s="14">
        <f t="shared" si="3"/>
        <v>0</v>
      </c>
      <c r="J27" s="8">
        <f t="shared" si="4"/>
        <v>0</v>
      </c>
    </row>
    <row r="28" spans="1:10" x14ac:dyDescent="0.25">
      <c r="A28" s="3">
        <v>41665</v>
      </c>
      <c r="B28" s="13" t="str">
        <f t="shared" si="0"/>
        <v>Sat</v>
      </c>
      <c r="C28" s="7">
        <f t="shared" si="1"/>
        <v>4</v>
      </c>
      <c r="H28" s="14" t="str">
        <f t="shared" si="2"/>
        <v>0:00</v>
      </c>
      <c r="I28" s="14">
        <f t="shared" si="3"/>
        <v>0</v>
      </c>
      <c r="J28" s="8">
        <f t="shared" si="4"/>
        <v>0</v>
      </c>
    </row>
    <row r="29" spans="1:10" x14ac:dyDescent="0.25">
      <c r="A29" s="3">
        <v>41666</v>
      </c>
      <c r="B29" s="13" t="str">
        <f t="shared" si="0"/>
        <v>Sun</v>
      </c>
      <c r="C29" s="7">
        <f t="shared" si="1"/>
        <v>4</v>
      </c>
      <c r="H29" s="14" t="str">
        <f t="shared" si="2"/>
        <v>0:00</v>
      </c>
      <c r="I29" s="14">
        <f t="shared" si="3"/>
        <v>0</v>
      </c>
      <c r="J29" s="8">
        <f t="shared" si="4"/>
        <v>0</v>
      </c>
    </row>
    <row r="30" spans="1:10" x14ac:dyDescent="0.25">
      <c r="A30" s="3">
        <v>41667</v>
      </c>
      <c r="B30" s="13" t="str">
        <f t="shared" si="0"/>
        <v>Mon</v>
      </c>
      <c r="C30" s="7">
        <f t="shared" si="1"/>
        <v>5</v>
      </c>
      <c r="H30" s="14" t="str">
        <f t="shared" si="2"/>
        <v>7:48</v>
      </c>
      <c r="I30" s="14">
        <f t="shared" si="3"/>
        <v>0</v>
      </c>
      <c r="J30" s="8">
        <f t="shared" si="4"/>
        <v>0</v>
      </c>
    </row>
    <row r="31" spans="1:10" x14ac:dyDescent="0.25">
      <c r="A31" s="3">
        <v>41668</v>
      </c>
      <c r="B31" s="13" t="str">
        <f t="shared" si="0"/>
        <v>Tue</v>
      </c>
      <c r="C31" s="7">
        <f t="shared" si="1"/>
        <v>5</v>
      </c>
      <c r="H31" s="14" t="str">
        <f t="shared" si="2"/>
        <v>7:48</v>
      </c>
      <c r="I31" s="14">
        <f t="shared" si="3"/>
        <v>0</v>
      </c>
      <c r="J31" s="8">
        <f t="shared" si="4"/>
        <v>0</v>
      </c>
    </row>
    <row r="32" spans="1:10" x14ac:dyDescent="0.25">
      <c r="A32" s="3">
        <v>41669</v>
      </c>
      <c r="B32" s="13" t="str">
        <f t="shared" si="0"/>
        <v>Wed</v>
      </c>
      <c r="C32" s="7">
        <f t="shared" si="1"/>
        <v>5</v>
      </c>
      <c r="H32" s="14" t="str">
        <f t="shared" si="2"/>
        <v>7:48</v>
      </c>
      <c r="I32" s="14">
        <f t="shared" si="3"/>
        <v>0</v>
      </c>
      <c r="J32" s="8">
        <f t="shared" si="4"/>
        <v>0</v>
      </c>
    </row>
    <row r="33" spans="1:10" x14ac:dyDescent="0.25">
      <c r="A33" s="3">
        <v>41670</v>
      </c>
      <c r="B33" s="13" t="str">
        <f t="shared" si="0"/>
        <v>Thu</v>
      </c>
      <c r="C33" s="7">
        <f t="shared" si="1"/>
        <v>5</v>
      </c>
      <c r="H33" s="14" t="str">
        <f t="shared" si="2"/>
        <v>7:48</v>
      </c>
      <c r="I33" s="14">
        <f t="shared" si="3"/>
        <v>0</v>
      </c>
      <c r="J33" s="8">
        <f t="shared" si="4"/>
        <v>0</v>
      </c>
    </row>
    <row r="34" spans="1:10" x14ac:dyDescent="0.25">
      <c r="A34" s="3">
        <v>41671</v>
      </c>
      <c r="B34" s="13" t="str">
        <f t="shared" si="0"/>
        <v>Fri</v>
      </c>
      <c r="C34" s="7">
        <f t="shared" si="1"/>
        <v>5</v>
      </c>
      <c r="H34" s="14" t="str">
        <f t="shared" si="2"/>
        <v>7:48</v>
      </c>
      <c r="I34" s="14">
        <f t="shared" si="3"/>
        <v>0</v>
      </c>
      <c r="J34" s="8">
        <f t="shared" si="4"/>
        <v>0</v>
      </c>
    </row>
    <row r="35" spans="1:10" x14ac:dyDescent="0.25">
      <c r="A35" s="3">
        <v>41672</v>
      </c>
      <c r="B35" s="13" t="str">
        <f t="shared" si="0"/>
        <v>Sat</v>
      </c>
      <c r="C35" s="7">
        <f t="shared" si="1"/>
        <v>5</v>
      </c>
      <c r="H35" s="14" t="str">
        <f t="shared" si="2"/>
        <v>0:00</v>
      </c>
      <c r="I35" s="14">
        <f t="shared" si="3"/>
        <v>0</v>
      </c>
      <c r="J35" s="8">
        <f t="shared" si="4"/>
        <v>0</v>
      </c>
    </row>
    <row r="36" spans="1:10" x14ac:dyDescent="0.25">
      <c r="A36" s="3">
        <v>41673</v>
      </c>
      <c r="B36" s="13" t="str">
        <f t="shared" si="0"/>
        <v>Sun</v>
      </c>
      <c r="C36" s="7">
        <f t="shared" si="1"/>
        <v>5</v>
      </c>
      <c r="H36" s="14" t="str">
        <f t="shared" si="2"/>
        <v>0:00</v>
      </c>
      <c r="I36" s="14">
        <f t="shared" si="3"/>
        <v>0</v>
      </c>
      <c r="J36" s="8">
        <f t="shared" si="4"/>
        <v>0</v>
      </c>
    </row>
    <row r="37" spans="1:10" x14ac:dyDescent="0.25">
      <c r="A37" s="3">
        <v>41674</v>
      </c>
      <c r="B37" s="13" t="str">
        <f t="shared" si="0"/>
        <v>Mon</v>
      </c>
      <c r="C37" s="7">
        <f t="shared" si="1"/>
        <v>6</v>
      </c>
      <c r="H37" s="14" t="str">
        <f t="shared" si="2"/>
        <v>7:48</v>
      </c>
      <c r="I37" s="14">
        <f t="shared" si="3"/>
        <v>0</v>
      </c>
      <c r="J37" s="8">
        <f t="shared" si="4"/>
        <v>0</v>
      </c>
    </row>
    <row r="38" spans="1:10" x14ac:dyDescent="0.25">
      <c r="A38" s="3">
        <v>41675</v>
      </c>
      <c r="B38" s="13" t="str">
        <f t="shared" si="0"/>
        <v>Tue</v>
      </c>
      <c r="C38" s="7">
        <f t="shared" si="1"/>
        <v>6</v>
      </c>
      <c r="H38" s="14" t="str">
        <f t="shared" si="2"/>
        <v>7:48</v>
      </c>
      <c r="I38" s="14">
        <f t="shared" si="3"/>
        <v>0</v>
      </c>
      <c r="J38" s="8">
        <f t="shared" si="4"/>
        <v>0</v>
      </c>
    </row>
    <row r="39" spans="1:10" x14ac:dyDescent="0.25">
      <c r="A39" s="3">
        <v>41676</v>
      </c>
      <c r="B39" s="13" t="str">
        <f t="shared" si="0"/>
        <v>Wed</v>
      </c>
      <c r="C39" s="7">
        <f t="shared" si="1"/>
        <v>6</v>
      </c>
      <c r="H39" s="14" t="str">
        <f t="shared" si="2"/>
        <v>7:48</v>
      </c>
      <c r="I39" s="14">
        <f t="shared" si="3"/>
        <v>0</v>
      </c>
      <c r="J39" s="8">
        <f t="shared" si="4"/>
        <v>0</v>
      </c>
    </row>
    <row r="40" spans="1:10" x14ac:dyDescent="0.25">
      <c r="A40" s="3">
        <v>41677</v>
      </c>
      <c r="B40" s="13" t="str">
        <f t="shared" si="0"/>
        <v>Thu</v>
      </c>
      <c r="C40" s="7">
        <f t="shared" si="1"/>
        <v>6</v>
      </c>
      <c r="H40" s="14" t="str">
        <f t="shared" si="2"/>
        <v>7:48</v>
      </c>
      <c r="I40" s="14">
        <f t="shared" si="3"/>
        <v>0</v>
      </c>
      <c r="J40" s="8">
        <f t="shared" si="4"/>
        <v>0</v>
      </c>
    </row>
    <row r="41" spans="1:10" x14ac:dyDescent="0.25">
      <c r="A41" s="3">
        <v>41678</v>
      </c>
      <c r="B41" s="13" t="str">
        <f t="shared" si="0"/>
        <v>Fri</v>
      </c>
      <c r="C41" s="7">
        <f t="shared" si="1"/>
        <v>6</v>
      </c>
      <c r="H41" s="14" t="str">
        <f t="shared" si="2"/>
        <v>7:48</v>
      </c>
      <c r="I41" s="14">
        <f t="shared" si="3"/>
        <v>0</v>
      </c>
      <c r="J41" s="8">
        <f t="shared" si="4"/>
        <v>0</v>
      </c>
    </row>
    <row r="42" spans="1:10" x14ac:dyDescent="0.25">
      <c r="A42" s="3">
        <v>41679</v>
      </c>
      <c r="B42" s="13" t="str">
        <f t="shared" si="0"/>
        <v>Sat</v>
      </c>
      <c r="C42" s="7">
        <f t="shared" si="1"/>
        <v>6</v>
      </c>
      <c r="H42" s="14" t="str">
        <f t="shared" si="2"/>
        <v>0:00</v>
      </c>
      <c r="I42" s="14">
        <f t="shared" si="3"/>
        <v>0</v>
      </c>
      <c r="J42" s="8">
        <f t="shared" si="4"/>
        <v>0</v>
      </c>
    </row>
    <row r="43" spans="1:10" x14ac:dyDescent="0.25">
      <c r="A43" s="3">
        <v>41680</v>
      </c>
      <c r="B43" s="13" t="str">
        <f t="shared" si="0"/>
        <v>Sun</v>
      </c>
      <c r="C43" s="7">
        <f t="shared" si="1"/>
        <v>6</v>
      </c>
      <c r="H43" s="14" t="str">
        <f t="shared" si="2"/>
        <v>0:00</v>
      </c>
      <c r="I43" s="14">
        <f t="shared" si="3"/>
        <v>0</v>
      </c>
      <c r="J43" s="8">
        <f t="shared" si="4"/>
        <v>0</v>
      </c>
    </row>
    <row r="44" spans="1:10" x14ac:dyDescent="0.25">
      <c r="A44" s="3">
        <v>41681</v>
      </c>
      <c r="B44" s="13" t="str">
        <f t="shared" si="0"/>
        <v>Mon</v>
      </c>
      <c r="C44" s="7">
        <f t="shared" si="1"/>
        <v>7</v>
      </c>
      <c r="H44" s="14" t="str">
        <f t="shared" si="2"/>
        <v>7:48</v>
      </c>
      <c r="I44" s="14">
        <f t="shared" si="3"/>
        <v>0</v>
      </c>
      <c r="J44" s="8">
        <f t="shared" si="4"/>
        <v>0</v>
      </c>
    </row>
    <row r="45" spans="1:10" x14ac:dyDescent="0.25">
      <c r="A45" s="3">
        <v>41682</v>
      </c>
      <c r="B45" s="13" t="str">
        <f t="shared" si="0"/>
        <v>Tue</v>
      </c>
      <c r="C45" s="7">
        <f t="shared" si="1"/>
        <v>7</v>
      </c>
      <c r="H45" s="14" t="str">
        <f t="shared" si="2"/>
        <v>7:48</v>
      </c>
      <c r="I45" s="14">
        <f t="shared" si="3"/>
        <v>0</v>
      </c>
      <c r="J45" s="8">
        <f t="shared" si="4"/>
        <v>0</v>
      </c>
    </row>
    <row r="46" spans="1:10" x14ac:dyDescent="0.25">
      <c r="A46" s="3">
        <v>41683</v>
      </c>
      <c r="B46" s="13" t="str">
        <f t="shared" si="0"/>
        <v>Wed</v>
      </c>
      <c r="C46" s="7">
        <f t="shared" si="1"/>
        <v>7</v>
      </c>
      <c r="H46" s="14" t="str">
        <f t="shared" si="2"/>
        <v>7:48</v>
      </c>
      <c r="I46" s="14">
        <f t="shared" si="3"/>
        <v>0</v>
      </c>
      <c r="J46" s="8">
        <f t="shared" si="4"/>
        <v>0</v>
      </c>
    </row>
    <row r="47" spans="1:10" x14ac:dyDescent="0.25">
      <c r="A47" s="3">
        <v>41684</v>
      </c>
      <c r="B47" s="13" t="str">
        <f t="shared" si="0"/>
        <v>Thu</v>
      </c>
      <c r="C47" s="7">
        <f t="shared" si="1"/>
        <v>7</v>
      </c>
      <c r="H47" s="14" t="str">
        <f t="shared" si="2"/>
        <v>7:48</v>
      </c>
      <c r="I47" s="14">
        <f t="shared" si="3"/>
        <v>0</v>
      </c>
      <c r="J47" s="8">
        <f t="shared" si="4"/>
        <v>0</v>
      </c>
    </row>
    <row r="48" spans="1:10" x14ac:dyDescent="0.25">
      <c r="A48" s="3">
        <v>41685</v>
      </c>
      <c r="B48" s="13" t="str">
        <f t="shared" si="0"/>
        <v>Fri</v>
      </c>
      <c r="C48" s="7">
        <f t="shared" si="1"/>
        <v>7</v>
      </c>
      <c r="H48" s="14" t="str">
        <f t="shared" si="2"/>
        <v>7:48</v>
      </c>
      <c r="I48" s="14">
        <f t="shared" si="3"/>
        <v>0</v>
      </c>
      <c r="J48" s="8">
        <f t="shared" si="4"/>
        <v>0</v>
      </c>
    </row>
    <row r="49" spans="1:10" x14ac:dyDescent="0.25">
      <c r="A49" s="3">
        <v>41686</v>
      </c>
      <c r="B49" s="13" t="str">
        <f t="shared" si="0"/>
        <v>Sat</v>
      </c>
      <c r="C49" s="7">
        <f t="shared" si="1"/>
        <v>7</v>
      </c>
      <c r="H49" s="14" t="str">
        <f t="shared" si="2"/>
        <v>0:00</v>
      </c>
      <c r="I49" s="14">
        <f t="shared" si="3"/>
        <v>0</v>
      </c>
      <c r="J49" s="8">
        <f t="shared" si="4"/>
        <v>0</v>
      </c>
    </row>
    <row r="50" spans="1:10" x14ac:dyDescent="0.25">
      <c r="A50" s="3">
        <v>41687</v>
      </c>
      <c r="B50" s="13" t="str">
        <f t="shared" si="0"/>
        <v>Sun</v>
      </c>
      <c r="C50" s="7">
        <f t="shared" si="1"/>
        <v>7</v>
      </c>
      <c r="H50" s="14" t="str">
        <f t="shared" si="2"/>
        <v>0:00</v>
      </c>
      <c r="I50" s="14">
        <f t="shared" si="3"/>
        <v>0</v>
      </c>
      <c r="J50" s="8">
        <f t="shared" si="4"/>
        <v>0</v>
      </c>
    </row>
    <row r="51" spans="1:10" x14ac:dyDescent="0.25">
      <c r="A51" s="3">
        <v>41688</v>
      </c>
      <c r="B51" s="13" t="str">
        <f t="shared" si="0"/>
        <v>Mon</v>
      </c>
      <c r="C51" s="7">
        <f t="shared" si="1"/>
        <v>8</v>
      </c>
      <c r="H51" s="14" t="str">
        <f t="shared" si="2"/>
        <v>7:48</v>
      </c>
      <c r="I51" s="14">
        <f t="shared" si="3"/>
        <v>0</v>
      </c>
      <c r="J51" s="8">
        <f t="shared" si="4"/>
        <v>0</v>
      </c>
    </row>
    <row r="52" spans="1:10" x14ac:dyDescent="0.25">
      <c r="A52" s="3">
        <v>41689</v>
      </c>
      <c r="B52" s="13" t="str">
        <f t="shared" si="0"/>
        <v>Tue</v>
      </c>
      <c r="C52" s="7">
        <f t="shared" si="1"/>
        <v>8</v>
      </c>
      <c r="H52" s="14" t="str">
        <f t="shared" si="2"/>
        <v>7:48</v>
      </c>
      <c r="I52" s="14">
        <f t="shared" si="3"/>
        <v>0</v>
      </c>
      <c r="J52" s="8">
        <f t="shared" si="4"/>
        <v>0</v>
      </c>
    </row>
    <row r="53" spans="1:10" x14ac:dyDescent="0.25">
      <c r="A53" s="3">
        <v>41690</v>
      </c>
      <c r="B53" s="13" t="str">
        <f t="shared" si="0"/>
        <v>Wed</v>
      </c>
      <c r="C53" s="7">
        <f t="shared" si="1"/>
        <v>8</v>
      </c>
      <c r="H53" s="14" t="str">
        <f t="shared" si="2"/>
        <v>7:48</v>
      </c>
      <c r="I53" s="14">
        <f t="shared" si="3"/>
        <v>0</v>
      </c>
      <c r="J53" s="8">
        <f t="shared" si="4"/>
        <v>0</v>
      </c>
    </row>
    <row r="54" spans="1:10" x14ac:dyDescent="0.25">
      <c r="A54" s="3">
        <v>41691</v>
      </c>
      <c r="B54" s="13" t="str">
        <f t="shared" si="0"/>
        <v>Thu</v>
      </c>
      <c r="C54" s="7">
        <f t="shared" si="1"/>
        <v>8</v>
      </c>
      <c r="H54" s="14" t="str">
        <f t="shared" si="2"/>
        <v>7:48</v>
      </c>
      <c r="I54" s="14">
        <f t="shared" si="3"/>
        <v>0</v>
      </c>
      <c r="J54" s="8">
        <f t="shared" si="4"/>
        <v>0</v>
      </c>
    </row>
    <row r="55" spans="1:10" x14ac:dyDescent="0.25">
      <c r="A55" s="3">
        <v>41692</v>
      </c>
      <c r="B55" s="13" t="str">
        <f t="shared" si="0"/>
        <v>Fri</v>
      </c>
      <c r="C55" s="7">
        <f t="shared" si="1"/>
        <v>8</v>
      </c>
      <c r="H55" s="14" t="str">
        <f t="shared" si="2"/>
        <v>7:48</v>
      </c>
      <c r="I55" s="14">
        <f t="shared" si="3"/>
        <v>0</v>
      </c>
      <c r="J55" s="8">
        <f t="shared" si="4"/>
        <v>0</v>
      </c>
    </row>
    <row r="56" spans="1:10" x14ac:dyDescent="0.25">
      <c r="A56" s="3">
        <v>41693</v>
      </c>
      <c r="B56" s="13" t="str">
        <f t="shared" si="0"/>
        <v>Sat</v>
      </c>
      <c r="C56" s="7">
        <f t="shared" si="1"/>
        <v>8</v>
      </c>
      <c r="H56" s="14" t="str">
        <f t="shared" si="2"/>
        <v>0:00</v>
      </c>
      <c r="I56" s="14">
        <f t="shared" si="3"/>
        <v>0</v>
      </c>
      <c r="J56" s="8">
        <f t="shared" si="4"/>
        <v>0</v>
      </c>
    </row>
    <row r="57" spans="1:10" x14ac:dyDescent="0.25">
      <c r="A57" s="3">
        <v>41694</v>
      </c>
      <c r="B57" s="13" t="str">
        <f t="shared" si="0"/>
        <v>Sun</v>
      </c>
      <c r="C57" s="7">
        <f t="shared" si="1"/>
        <v>8</v>
      </c>
      <c r="H57" s="14" t="str">
        <f t="shared" si="2"/>
        <v>0:00</v>
      </c>
      <c r="I57" s="14">
        <f t="shared" si="3"/>
        <v>0</v>
      </c>
      <c r="J57" s="8">
        <f t="shared" si="4"/>
        <v>0</v>
      </c>
    </row>
    <row r="58" spans="1:10" x14ac:dyDescent="0.25">
      <c r="A58" s="3">
        <v>41695</v>
      </c>
      <c r="B58" s="13" t="str">
        <f t="shared" si="0"/>
        <v>Mon</v>
      </c>
      <c r="C58" s="7">
        <f t="shared" si="1"/>
        <v>9</v>
      </c>
      <c r="H58" s="14" t="str">
        <f t="shared" si="2"/>
        <v>7:48</v>
      </c>
      <c r="I58" s="14">
        <f t="shared" si="3"/>
        <v>0</v>
      </c>
      <c r="J58" s="8">
        <f t="shared" si="4"/>
        <v>0</v>
      </c>
    </row>
    <row r="59" spans="1:10" x14ac:dyDescent="0.25">
      <c r="A59" s="3">
        <v>41696</v>
      </c>
      <c r="B59" s="13" t="str">
        <f t="shared" si="0"/>
        <v>Tue</v>
      </c>
      <c r="C59" s="7">
        <f t="shared" si="1"/>
        <v>9</v>
      </c>
      <c r="H59" s="14" t="str">
        <f t="shared" si="2"/>
        <v>7:48</v>
      </c>
      <c r="I59" s="14">
        <f t="shared" si="3"/>
        <v>0</v>
      </c>
      <c r="J59" s="8">
        <f t="shared" si="4"/>
        <v>0</v>
      </c>
    </row>
    <row r="60" spans="1:10" x14ac:dyDescent="0.25">
      <c r="A60" s="3">
        <v>41697</v>
      </c>
      <c r="B60" s="13" t="str">
        <f t="shared" si="0"/>
        <v>Wed</v>
      </c>
      <c r="C60" s="7">
        <f t="shared" si="1"/>
        <v>9</v>
      </c>
      <c r="H60" s="14" t="str">
        <f t="shared" si="2"/>
        <v>7:48</v>
      </c>
      <c r="I60" s="14">
        <f t="shared" si="3"/>
        <v>0</v>
      </c>
      <c r="J60" s="8">
        <f t="shared" si="4"/>
        <v>0</v>
      </c>
    </row>
    <row r="61" spans="1:10" x14ac:dyDescent="0.25">
      <c r="A61" s="3">
        <v>41698</v>
      </c>
      <c r="B61" s="13" t="str">
        <f t="shared" si="0"/>
        <v>Thu</v>
      </c>
      <c r="C61" s="7">
        <f t="shared" si="1"/>
        <v>9</v>
      </c>
      <c r="H61" s="14" t="str">
        <f t="shared" si="2"/>
        <v>7:48</v>
      </c>
      <c r="I61" s="14">
        <f t="shared" si="3"/>
        <v>0</v>
      </c>
      <c r="J61" s="8">
        <f t="shared" si="4"/>
        <v>0</v>
      </c>
    </row>
    <row r="62" spans="1:10" x14ac:dyDescent="0.25">
      <c r="A62" s="3">
        <v>41699</v>
      </c>
      <c r="B62" s="13" t="str">
        <f t="shared" si="0"/>
        <v>Fri</v>
      </c>
      <c r="C62" s="7">
        <f t="shared" si="1"/>
        <v>9</v>
      </c>
      <c r="H62" s="14" t="str">
        <f t="shared" si="2"/>
        <v>7:48</v>
      </c>
      <c r="I62" s="14">
        <f t="shared" si="3"/>
        <v>0</v>
      </c>
      <c r="J62" s="8">
        <f t="shared" si="4"/>
        <v>0</v>
      </c>
    </row>
    <row r="63" spans="1:10" x14ac:dyDescent="0.25">
      <c r="A63" s="3">
        <v>41700</v>
      </c>
      <c r="B63" s="13" t="str">
        <f t="shared" si="0"/>
        <v>Sat</v>
      </c>
      <c r="C63" s="7">
        <f t="shared" si="1"/>
        <v>9</v>
      </c>
      <c r="H63" s="14" t="str">
        <f t="shared" si="2"/>
        <v>0:00</v>
      </c>
      <c r="I63" s="14">
        <f t="shared" si="3"/>
        <v>0</v>
      </c>
      <c r="J63" s="8">
        <f t="shared" si="4"/>
        <v>0</v>
      </c>
    </row>
    <row r="64" spans="1:10" x14ac:dyDescent="0.25">
      <c r="A64" s="3">
        <v>41701</v>
      </c>
      <c r="B64" s="13" t="str">
        <f t="shared" si="0"/>
        <v>Sun</v>
      </c>
      <c r="C64" s="7">
        <f t="shared" si="1"/>
        <v>9</v>
      </c>
      <c r="H64" s="14" t="str">
        <f t="shared" si="2"/>
        <v>0:00</v>
      </c>
      <c r="I64" s="14">
        <f t="shared" si="3"/>
        <v>0</v>
      </c>
      <c r="J64" s="8">
        <f t="shared" si="4"/>
        <v>0</v>
      </c>
    </row>
    <row r="65" spans="1:10" x14ac:dyDescent="0.25">
      <c r="A65" s="3">
        <v>41702</v>
      </c>
      <c r="B65" s="13" t="str">
        <f t="shared" si="0"/>
        <v>Mon</v>
      </c>
      <c r="C65" s="7">
        <f t="shared" si="1"/>
        <v>10</v>
      </c>
      <c r="H65" s="14" t="str">
        <f t="shared" si="2"/>
        <v>7:48</v>
      </c>
      <c r="I65" s="14">
        <f t="shared" si="3"/>
        <v>0</v>
      </c>
      <c r="J65" s="8">
        <f t="shared" si="4"/>
        <v>0</v>
      </c>
    </row>
    <row r="66" spans="1:10" x14ac:dyDescent="0.25">
      <c r="A66" s="3">
        <v>41703</v>
      </c>
      <c r="B66" s="13" t="str">
        <f t="shared" ref="B66:B129" si="5">CHOOSE(WEEKDAY($A66,2),"Mon","Tue","Wed","Thu","Fri","Sat","Sun")</f>
        <v>Tue</v>
      </c>
      <c r="C66" s="7">
        <f t="shared" ref="C66:C129" si="6">_xlfn.ISOWEEKNUM($A66)</f>
        <v>10</v>
      </c>
      <c r="H66" s="14" t="str">
        <f t="shared" ref="H66:H129" si="7">IF(WEEKDAY($A66,2)&lt;=5,"7:48","0:00")</f>
        <v>7:48</v>
      </c>
      <c r="I66" s="14">
        <f t="shared" ref="I66:I129" si="8">IF(COUNTIF(nonprod_types, $D66)&gt;0, "7:48", ($F66-$E66)-$G66)</f>
        <v>0</v>
      </c>
      <c r="J66" s="8">
        <f t="shared" ref="J66:J129" si="9">IF(D66="",0,$I66-$H66)</f>
        <v>0</v>
      </c>
    </row>
    <row r="67" spans="1:10" x14ac:dyDescent="0.25">
      <c r="A67" s="3">
        <v>41704</v>
      </c>
      <c r="B67" s="13" t="str">
        <f t="shared" si="5"/>
        <v>Wed</v>
      </c>
      <c r="C67" s="7">
        <f t="shared" si="6"/>
        <v>10</v>
      </c>
      <c r="H67" s="14" t="str">
        <f t="shared" si="7"/>
        <v>7:48</v>
      </c>
      <c r="I67" s="14">
        <f t="shared" si="8"/>
        <v>0</v>
      </c>
      <c r="J67" s="8">
        <f t="shared" si="9"/>
        <v>0</v>
      </c>
    </row>
    <row r="68" spans="1:10" x14ac:dyDescent="0.25">
      <c r="A68" s="3">
        <v>41705</v>
      </c>
      <c r="B68" s="13" t="str">
        <f t="shared" si="5"/>
        <v>Thu</v>
      </c>
      <c r="C68" s="7">
        <f t="shared" si="6"/>
        <v>10</v>
      </c>
      <c r="H68" s="14" t="str">
        <f t="shared" si="7"/>
        <v>7:48</v>
      </c>
      <c r="I68" s="14">
        <f t="shared" si="8"/>
        <v>0</v>
      </c>
      <c r="J68" s="8">
        <f t="shared" si="9"/>
        <v>0</v>
      </c>
    </row>
    <row r="69" spans="1:10" x14ac:dyDescent="0.25">
      <c r="A69" s="3">
        <v>41706</v>
      </c>
      <c r="B69" s="13" t="str">
        <f t="shared" si="5"/>
        <v>Fri</v>
      </c>
      <c r="C69" s="7">
        <f t="shared" si="6"/>
        <v>10</v>
      </c>
      <c r="H69" s="14" t="str">
        <f t="shared" si="7"/>
        <v>7:48</v>
      </c>
      <c r="I69" s="14">
        <f t="shared" si="8"/>
        <v>0</v>
      </c>
      <c r="J69" s="8">
        <f t="shared" si="9"/>
        <v>0</v>
      </c>
    </row>
    <row r="70" spans="1:10" x14ac:dyDescent="0.25">
      <c r="A70" s="3">
        <v>41707</v>
      </c>
      <c r="B70" s="13" t="str">
        <f t="shared" si="5"/>
        <v>Sat</v>
      </c>
      <c r="C70" s="7">
        <f t="shared" si="6"/>
        <v>10</v>
      </c>
      <c r="H70" s="14" t="str">
        <f t="shared" si="7"/>
        <v>0:00</v>
      </c>
      <c r="I70" s="14">
        <f t="shared" si="8"/>
        <v>0</v>
      </c>
      <c r="J70" s="8">
        <f t="shared" si="9"/>
        <v>0</v>
      </c>
    </row>
    <row r="71" spans="1:10" x14ac:dyDescent="0.25">
      <c r="A71" s="3">
        <v>41708</v>
      </c>
      <c r="B71" s="13" t="str">
        <f t="shared" si="5"/>
        <v>Sun</v>
      </c>
      <c r="C71" s="7">
        <f t="shared" si="6"/>
        <v>10</v>
      </c>
      <c r="H71" s="14" t="str">
        <f t="shared" si="7"/>
        <v>0:00</v>
      </c>
      <c r="I71" s="14">
        <f t="shared" si="8"/>
        <v>0</v>
      </c>
      <c r="J71" s="8">
        <f t="shared" si="9"/>
        <v>0</v>
      </c>
    </row>
    <row r="72" spans="1:10" x14ac:dyDescent="0.25">
      <c r="A72" s="3">
        <v>41709</v>
      </c>
      <c r="B72" s="13" t="str">
        <f t="shared" si="5"/>
        <v>Mon</v>
      </c>
      <c r="C72" s="7">
        <f t="shared" si="6"/>
        <v>11</v>
      </c>
      <c r="H72" s="14" t="str">
        <f t="shared" si="7"/>
        <v>7:48</v>
      </c>
      <c r="I72" s="14">
        <f t="shared" si="8"/>
        <v>0</v>
      </c>
      <c r="J72" s="8">
        <f t="shared" si="9"/>
        <v>0</v>
      </c>
    </row>
    <row r="73" spans="1:10" x14ac:dyDescent="0.25">
      <c r="A73" s="3">
        <v>41710</v>
      </c>
      <c r="B73" s="13" t="str">
        <f t="shared" si="5"/>
        <v>Tue</v>
      </c>
      <c r="C73" s="7">
        <f t="shared" si="6"/>
        <v>11</v>
      </c>
      <c r="H73" s="14" t="str">
        <f t="shared" si="7"/>
        <v>7:48</v>
      </c>
      <c r="I73" s="14">
        <f t="shared" si="8"/>
        <v>0</v>
      </c>
      <c r="J73" s="8">
        <f t="shared" si="9"/>
        <v>0</v>
      </c>
    </row>
    <row r="74" spans="1:10" x14ac:dyDescent="0.25">
      <c r="A74" s="3">
        <v>41711</v>
      </c>
      <c r="B74" s="13" t="str">
        <f t="shared" si="5"/>
        <v>Wed</v>
      </c>
      <c r="C74" s="7">
        <f t="shared" si="6"/>
        <v>11</v>
      </c>
      <c r="H74" s="14" t="str">
        <f t="shared" si="7"/>
        <v>7:48</v>
      </c>
      <c r="I74" s="14">
        <f t="shared" si="8"/>
        <v>0</v>
      </c>
      <c r="J74" s="8">
        <f t="shared" si="9"/>
        <v>0</v>
      </c>
    </row>
    <row r="75" spans="1:10" x14ac:dyDescent="0.25">
      <c r="A75" s="3">
        <v>41712</v>
      </c>
      <c r="B75" s="13" t="str">
        <f t="shared" si="5"/>
        <v>Thu</v>
      </c>
      <c r="C75" s="7">
        <f t="shared" si="6"/>
        <v>11</v>
      </c>
      <c r="H75" s="14" t="str">
        <f t="shared" si="7"/>
        <v>7:48</v>
      </c>
      <c r="I75" s="14">
        <f t="shared" si="8"/>
        <v>0</v>
      </c>
      <c r="J75" s="8">
        <f t="shared" si="9"/>
        <v>0</v>
      </c>
    </row>
    <row r="76" spans="1:10" x14ac:dyDescent="0.25">
      <c r="A76" s="3">
        <v>41713</v>
      </c>
      <c r="B76" s="13" t="str">
        <f t="shared" si="5"/>
        <v>Fri</v>
      </c>
      <c r="C76" s="7">
        <f t="shared" si="6"/>
        <v>11</v>
      </c>
      <c r="H76" s="14" t="str">
        <f t="shared" si="7"/>
        <v>7:48</v>
      </c>
      <c r="I76" s="14">
        <f t="shared" si="8"/>
        <v>0</v>
      </c>
      <c r="J76" s="8">
        <f t="shared" si="9"/>
        <v>0</v>
      </c>
    </row>
    <row r="77" spans="1:10" x14ac:dyDescent="0.25">
      <c r="A77" s="3">
        <v>41714</v>
      </c>
      <c r="B77" s="13" t="str">
        <f t="shared" si="5"/>
        <v>Sat</v>
      </c>
      <c r="C77" s="7">
        <f t="shared" si="6"/>
        <v>11</v>
      </c>
      <c r="H77" s="14" t="str">
        <f t="shared" si="7"/>
        <v>0:00</v>
      </c>
      <c r="I77" s="14">
        <f t="shared" si="8"/>
        <v>0</v>
      </c>
      <c r="J77" s="8">
        <f t="shared" si="9"/>
        <v>0</v>
      </c>
    </row>
    <row r="78" spans="1:10" x14ac:dyDescent="0.25">
      <c r="A78" s="3">
        <v>41715</v>
      </c>
      <c r="B78" s="13" t="str">
        <f t="shared" si="5"/>
        <v>Sun</v>
      </c>
      <c r="C78" s="7">
        <f t="shared" si="6"/>
        <v>11</v>
      </c>
      <c r="H78" s="14" t="str">
        <f t="shared" si="7"/>
        <v>0:00</v>
      </c>
      <c r="I78" s="14">
        <f t="shared" si="8"/>
        <v>0</v>
      </c>
      <c r="J78" s="8">
        <f t="shared" si="9"/>
        <v>0</v>
      </c>
    </row>
    <row r="79" spans="1:10" x14ac:dyDescent="0.25">
      <c r="A79" s="3">
        <v>41716</v>
      </c>
      <c r="B79" s="13" t="str">
        <f t="shared" si="5"/>
        <v>Mon</v>
      </c>
      <c r="C79" s="7">
        <f t="shared" si="6"/>
        <v>12</v>
      </c>
      <c r="H79" s="14" t="str">
        <f t="shared" si="7"/>
        <v>7:48</v>
      </c>
      <c r="I79" s="14">
        <f t="shared" si="8"/>
        <v>0</v>
      </c>
      <c r="J79" s="8">
        <f t="shared" si="9"/>
        <v>0</v>
      </c>
    </row>
    <row r="80" spans="1:10" x14ac:dyDescent="0.25">
      <c r="A80" s="3">
        <v>41717</v>
      </c>
      <c r="B80" s="13" t="str">
        <f t="shared" si="5"/>
        <v>Tue</v>
      </c>
      <c r="C80" s="7">
        <f t="shared" si="6"/>
        <v>12</v>
      </c>
      <c r="H80" s="14" t="str">
        <f t="shared" si="7"/>
        <v>7:48</v>
      </c>
      <c r="I80" s="14">
        <f t="shared" si="8"/>
        <v>0</v>
      </c>
      <c r="J80" s="8">
        <f t="shared" si="9"/>
        <v>0</v>
      </c>
    </row>
    <row r="81" spans="1:10" x14ac:dyDescent="0.25">
      <c r="A81" s="3">
        <v>41718</v>
      </c>
      <c r="B81" s="13" t="str">
        <f t="shared" si="5"/>
        <v>Wed</v>
      </c>
      <c r="C81" s="7">
        <f t="shared" si="6"/>
        <v>12</v>
      </c>
      <c r="H81" s="14" t="str">
        <f t="shared" si="7"/>
        <v>7:48</v>
      </c>
      <c r="I81" s="14">
        <f t="shared" si="8"/>
        <v>0</v>
      </c>
      <c r="J81" s="8">
        <f t="shared" si="9"/>
        <v>0</v>
      </c>
    </row>
    <row r="82" spans="1:10" x14ac:dyDescent="0.25">
      <c r="A82" s="3">
        <v>41719</v>
      </c>
      <c r="B82" s="13" t="str">
        <f t="shared" si="5"/>
        <v>Thu</v>
      </c>
      <c r="C82" s="7">
        <f t="shared" si="6"/>
        <v>12</v>
      </c>
      <c r="H82" s="14" t="str">
        <f t="shared" si="7"/>
        <v>7:48</v>
      </c>
      <c r="I82" s="14">
        <f t="shared" si="8"/>
        <v>0</v>
      </c>
      <c r="J82" s="8">
        <f t="shared" si="9"/>
        <v>0</v>
      </c>
    </row>
    <row r="83" spans="1:10" x14ac:dyDescent="0.25">
      <c r="A83" s="3">
        <v>41720</v>
      </c>
      <c r="B83" s="13" t="str">
        <f t="shared" si="5"/>
        <v>Fri</v>
      </c>
      <c r="C83" s="7">
        <f t="shared" si="6"/>
        <v>12</v>
      </c>
      <c r="H83" s="14" t="str">
        <f t="shared" si="7"/>
        <v>7:48</v>
      </c>
      <c r="I83" s="14">
        <f t="shared" si="8"/>
        <v>0</v>
      </c>
      <c r="J83" s="8">
        <f t="shared" si="9"/>
        <v>0</v>
      </c>
    </row>
    <row r="84" spans="1:10" x14ac:dyDescent="0.25">
      <c r="A84" s="3">
        <v>41721</v>
      </c>
      <c r="B84" s="13" t="str">
        <f t="shared" si="5"/>
        <v>Sat</v>
      </c>
      <c r="C84" s="7">
        <f t="shared" si="6"/>
        <v>12</v>
      </c>
      <c r="H84" s="14" t="str">
        <f t="shared" si="7"/>
        <v>0:00</v>
      </c>
      <c r="I84" s="14">
        <f t="shared" si="8"/>
        <v>0</v>
      </c>
      <c r="J84" s="8">
        <f t="shared" si="9"/>
        <v>0</v>
      </c>
    </row>
    <row r="85" spans="1:10" x14ac:dyDescent="0.25">
      <c r="A85" s="3">
        <v>41722</v>
      </c>
      <c r="B85" s="13" t="str">
        <f t="shared" si="5"/>
        <v>Sun</v>
      </c>
      <c r="C85" s="7">
        <f t="shared" si="6"/>
        <v>12</v>
      </c>
      <c r="H85" s="14" t="str">
        <f t="shared" si="7"/>
        <v>0:00</v>
      </c>
      <c r="I85" s="14">
        <f t="shared" si="8"/>
        <v>0</v>
      </c>
      <c r="J85" s="8">
        <f t="shared" si="9"/>
        <v>0</v>
      </c>
    </row>
    <row r="86" spans="1:10" x14ac:dyDescent="0.25">
      <c r="A86" s="3">
        <v>41723</v>
      </c>
      <c r="B86" s="13" t="str">
        <f t="shared" si="5"/>
        <v>Mon</v>
      </c>
      <c r="C86" s="7">
        <f t="shared" si="6"/>
        <v>13</v>
      </c>
      <c r="H86" s="14" t="str">
        <f t="shared" si="7"/>
        <v>7:48</v>
      </c>
      <c r="I86" s="14">
        <f t="shared" si="8"/>
        <v>0</v>
      </c>
      <c r="J86" s="8">
        <f t="shared" si="9"/>
        <v>0</v>
      </c>
    </row>
    <row r="87" spans="1:10" x14ac:dyDescent="0.25">
      <c r="A87" s="3">
        <v>41724</v>
      </c>
      <c r="B87" s="13" t="str">
        <f t="shared" si="5"/>
        <v>Tue</v>
      </c>
      <c r="C87" s="7">
        <f t="shared" si="6"/>
        <v>13</v>
      </c>
      <c r="H87" s="14" t="str">
        <f t="shared" si="7"/>
        <v>7:48</v>
      </c>
      <c r="I87" s="14">
        <f t="shared" si="8"/>
        <v>0</v>
      </c>
      <c r="J87" s="8">
        <f t="shared" si="9"/>
        <v>0</v>
      </c>
    </row>
    <row r="88" spans="1:10" x14ac:dyDescent="0.25">
      <c r="A88" s="3">
        <v>41725</v>
      </c>
      <c r="B88" s="13" t="str">
        <f t="shared" si="5"/>
        <v>Wed</v>
      </c>
      <c r="C88" s="7">
        <f t="shared" si="6"/>
        <v>13</v>
      </c>
      <c r="H88" s="14" t="str">
        <f t="shared" si="7"/>
        <v>7:48</v>
      </c>
      <c r="I88" s="14">
        <f t="shared" si="8"/>
        <v>0</v>
      </c>
      <c r="J88" s="8">
        <f t="shared" si="9"/>
        <v>0</v>
      </c>
    </row>
    <row r="89" spans="1:10" x14ac:dyDescent="0.25">
      <c r="A89" s="3">
        <v>41726</v>
      </c>
      <c r="B89" s="13" t="str">
        <f t="shared" si="5"/>
        <v>Thu</v>
      </c>
      <c r="C89" s="7">
        <f t="shared" si="6"/>
        <v>13</v>
      </c>
      <c r="H89" s="14" t="str">
        <f t="shared" si="7"/>
        <v>7:48</v>
      </c>
      <c r="I89" s="14">
        <f t="shared" si="8"/>
        <v>0</v>
      </c>
      <c r="J89" s="8">
        <f t="shared" si="9"/>
        <v>0</v>
      </c>
    </row>
    <row r="90" spans="1:10" x14ac:dyDescent="0.25">
      <c r="A90" s="3">
        <v>41727</v>
      </c>
      <c r="B90" s="13" t="str">
        <f t="shared" si="5"/>
        <v>Fri</v>
      </c>
      <c r="C90" s="7">
        <f t="shared" si="6"/>
        <v>13</v>
      </c>
      <c r="H90" s="14" t="str">
        <f t="shared" si="7"/>
        <v>7:48</v>
      </c>
      <c r="I90" s="14">
        <f t="shared" si="8"/>
        <v>0</v>
      </c>
      <c r="J90" s="8">
        <f t="shared" si="9"/>
        <v>0</v>
      </c>
    </row>
    <row r="91" spans="1:10" x14ac:dyDescent="0.25">
      <c r="A91" s="3">
        <v>41728</v>
      </c>
      <c r="B91" s="13" t="str">
        <f t="shared" si="5"/>
        <v>Sat</v>
      </c>
      <c r="C91" s="7">
        <f t="shared" si="6"/>
        <v>13</v>
      </c>
      <c r="H91" s="14" t="str">
        <f t="shared" si="7"/>
        <v>0:00</v>
      </c>
      <c r="I91" s="14">
        <f t="shared" si="8"/>
        <v>0</v>
      </c>
      <c r="J91" s="8">
        <f t="shared" si="9"/>
        <v>0</v>
      </c>
    </row>
    <row r="92" spans="1:10" x14ac:dyDescent="0.25">
      <c r="A92" s="3">
        <v>41729</v>
      </c>
      <c r="B92" s="13" t="str">
        <f t="shared" si="5"/>
        <v>Sun</v>
      </c>
      <c r="C92" s="7">
        <f t="shared" si="6"/>
        <v>13</v>
      </c>
      <c r="H92" s="14" t="str">
        <f t="shared" si="7"/>
        <v>0:00</v>
      </c>
      <c r="I92" s="14">
        <f t="shared" si="8"/>
        <v>0</v>
      </c>
      <c r="J92" s="8">
        <f t="shared" si="9"/>
        <v>0</v>
      </c>
    </row>
    <row r="93" spans="1:10" x14ac:dyDescent="0.25">
      <c r="A93" s="3">
        <v>41730</v>
      </c>
      <c r="B93" s="13" t="str">
        <f t="shared" si="5"/>
        <v>Mon</v>
      </c>
      <c r="C93" s="7">
        <f t="shared" si="6"/>
        <v>14</v>
      </c>
      <c r="H93" s="14" t="str">
        <f t="shared" si="7"/>
        <v>7:48</v>
      </c>
      <c r="I93" s="14">
        <f t="shared" si="8"/>
        <v>0</v>
      </c>
      <c r="J93" s="8">
        <f t="shared" si="9"/>
        <v>0</v>
      </c>
    </row>
    <row r="94" spans="1:10" x14ac:dyDescent="0.25">
      <c r="A94" s="3">
        <v>41731</v>
      </c>
      <c r="B94" s="13" t="str">
        <f t="shared" si="5"/>
        <v>Tue</v>
      </c>
      <c r="C94" s="7">
        <f t="shared" si="6"/>
        <v>14</v>
      </c>
      <c r="H94" s="14" t="str">
        <f t="shared" si="7"/>
        <v>7:48</v>
      </c>
      <c r="I94" s="14">
        <f t="shared" si="8"/>
        <v>0</v>
      </c>
      <c r="J94" s="8">
        <f t="shared" si="9"/>
        <v>0</v>
      </c>
    </row>
    <row r="95" spans="1:10" x14ac:dyDescent="0.25">
      <c r="A95" s="3">
        <v>41732</v>
      </c>
      <c r="B95" s="13" t="str">
        <f t="shared" si="5"/>
        <v>Wed</v>
      </c>
      <c r="C95" s="7">
        <f t="shared" si="6"/>
        <v>14</v>
      </c>
      <c r="H95" s="14" t="str">
        <f t="shared" si="7"/>
        <v>7:48</v>
      </c>
      <c r="I95" s="14">
        <f t="shared" si="8"/>
        <v>0</v>
      </c>
      <c r="J95" s="8">
        <f t="shared" si="9"/>
        <v>0</v>
      </c>
    </row>
    <row r="96" spans="1:10" x14ac:dyDescent="0.25">
      <c r="A96" s="3">
        <v>41733</v>
      </c>
      <c r="B96" s="13" t="str">
        <f t="shared" si="5"/>
        <v>Thu</v>
      </c>
      <c r="C96" s="7">
        <f t="shared" si="6"/>
        <v>14</v>
      </c>
      <c r="H96" s="14" t="str">
        <f t="shared" si="7"/>
        <v>7:48</v>
      </c>
      <c r="I96" s="14">
        <f t="shared" si="8"/>
        <v>0</v>
      </c>
      <c r="J96" s="8">
        <f t="shared" si="9"/>
        <v>0</v>
      </c>
    </row>
    <row r="97" spans="1:10" x14ac:dyDescent="0.25">
      <c r="A97" s="3">
        <v>41734</v>
      </c>
      <c r="B97" s="13" t="str">
        <f t="shared" si="5"/>
        <v>Fri</v>
      </c>
      <c r="C97" s="7">
        <f t="shared" si="6"/>
        <v>14</v>
      </c>
      <c r="H97" s="14" t="str">
        <f t="shared" si="7"/>
        <v>7:48</v>
      </c>
      <c r="I97" s="14">
        <f t="shared" si="8"/>
        <v>0</v>
      </c>
      <c r="J97" s="8">
        <f t="shared" si="9"/>
        <v>0</v>
      </c>
    </row>
    <row r="98" spans="1:10" x14ac:dyDescent="0.25">
      <c r="A98" s="3">
        <v>41735</v>
      </c>
      <c r="B98" s="13" t="str">
        <f t="shared" si="5"/>
        <v>Sat</v>
      </c>
      <c r="C98" s="7">
        <f t="shared" si="6"/>
        <v>14</v>
      </c>
      <c r="H98" s="14" t="str">
        <f t="shared" si="7"/>
        <v>0:00</v>
      </c>
      <c r="I98" s="14">
        <f t="shared" si="8"/>
        <v>0</v>
      </c>
      <c r="J98" s="8">
        <f t="shared" si="9"/>
        <v>0</v>
      </c>
    </row>
    <row r="99" spans="1:10" x14ac:dyDescent="0.25">
      <c r="A99" s="3">
        <v>41736</v>
      </c>
      <c r="B99" s="13" t="str">
        <f t="shared" si="5"/>
        <v>Sun</v>
      </c>
      <c r="C99" s="7">
        <f t="shared" si="6"/>
        <v>14</v>
      </c>
      <c r="H99" s="14" t="str">
        <f t="shared" si="7"/>
        <v>0:00</v>
      </c>
      <c r="I99" s="14">
        <f t="shared" si="8"/>
        <v>0</v>
      </c>
      <c r="J99" s="8">
        <f t="shared" si="9"/>
        <v>0</v>
      </c>
    </row>
    <row r="100" spans="1:10" x14ac:dyDescent="0.25">
      <c r="A100" s="3">
        <v>41737</v>
      </c>
      <c r="B100" s="13" t="str">
        <f t="shared" si="5"/>
        <v>Mon</v>
      </c>
      <c r="C100" s="7">
        <f t="shared" si="6"/>
        <v>15</v>
      </c>
      <c r="H100" s="14" t="str">
        <f t="shared" si="7"/>
        <v>7:48</v>
      </c>
      <c r="I100" s="14">
        <f t="shared" si="8"/>
        <v>0</v>
      </c>
      <c r="J100" s="8">
        <f t="shared" si="9"/>
        <v>0</v>
      </c>
    </row>
    <row r="101" spans="1:10" x14ac:dyDescent="0.25">
      <c r="A101" s="3">
        <v>41738</v>
      </c>
      <c r="B101" s="13" t="str">
        <f t="shared" si="5"/>
        <v>Tue</v>
      </c>
      <c r="C101" s="7">
        <f t="shared" si="6"/>
        <v>15</v>
      </c>
      <c r="H101" s="14" t="str">
        <f t="shared" si="7"/>
        <v>7:48</v>
      </c>
      <c r="I101" s="14">
        <f t="shared" si="8"/>
        <v>0</v>
      </c>
      <c r="J101" s="8">
        <f t="shared" si="9"/>
        <v>0</v>
      </c>
    </row>
    <row r="102" spans="1:10" x14ac:dyDescent="0.25">
      <c r="A102" s="3">
        <v>41739</v>
      </c>
      <c r="B102" s="13" t="str">
        <f t="shared" si="5"/>
        <v>Wed</v>
      </c>
      <c r="C102" s="7">
        <f t="shared" si="6"/>
        <v>15</v>
      </c>
      <c r="H102" s="14" t="str">
        <f t="shared" si="7"/>
        <v>7:48</v>
      </c>
      <c r="I102" s="14">
        <f t="shared" si="8"/>
        <v>0</v>
      </c>
      <c r="J102" s="8">
        <f t="shared" si="9"/>
        <v>0</v>
      </c>
    </row>
    <row r="103" spans="1:10" x14ac:dyDescent="0.25">
      <c r="A103" s="3">
        <v>41740</v>
      </c>
      <c r="B103" s="13" t="str">
        <f t="shared" si="5"/>
        <v>Thu</v>
      </c>
      <c r="C103" s="7">
        <f t="shared" si="6"/>
        <v>15</v>
      </c>
      <c r="H103" s="14" t="str">
        <f t="shared" si="7"/>
        <v>7:48</v>
      </c>
      <c r="I103" s="14">
        <f t="shared" si="8"/>
        <v>0</v>
      </c>
      <c r="J103" s="8">
        <f t="shared" si="9"/>
        <v>0</v>
      </c>
    </row>
    <row r="104" spans="1:10" x14ac:dyDescent="0.25">
      <c r="A104" s="3">
        <v>41741</v>
      </c>
      <c r="B104" s="13" t="str">
        <f t="shared" si="5"/>
        <v>Fri</v>
      </c>
      <c r="C104" s="7">
        <f t="shared" si="6"/>
        <v>15</v>
      </c>
      <c r="H104" s="14" t="str">
        <f t="shared" si="7"/>
        <v>7:48</v>
      </c>
      <c r="I104" s="14">
        <f t="shared" si="8"/>
        <v>0</v>
      </c>
      <c r="J104" s="8">
        <f t="shared" si="9"/>
        <v>0</v>
      </c>
    </row>
    <row r="105" spans="1:10" x14ac:dyDescent="0.25">
      <c r="A105" s="3">
        <v>41742</v>
      </c>
      <c r="B105" s="13" t="str">
        <f t="shared" si="5"/>
        <v>Sat</v>
      </c>
      <c r="C105" s="7">
        <f t="shared" si="6"/>
        <v>15</v>
      </c>
      <c r="H105" s="14" t="str">
        <f t="shared" si="7"/>
        <v>0:00</v>
      </c>
      <c r="I105" s="14">
        <f t="shared" si="8"/>
        <v>0</v>
      </c>
      <c r="J105" s="8">
        <f t="shared" si="9"/>
        <v>0</v>
      </c>
    </row>
    <row r="106" spans="1:10" x14ac:dyDescent="0.25">
      <c r="A106" s="3">
        <v>41743</v>
      </c>
      <c r="B106" s="13" t="str">
        <f t="shared" si="5"/>
        <v>Sun</v>
      </c>
      <c r="C106" s="7">
        <f t="shared" si="6"/>
        <v>15</v>
      </c>
      <c r="H106" s="14" t="str">
        <f t="shared" si="7"/>
        <v>0:00</v>
      </c>
      <c r="I106" s="14">
        <f t="shared" si="8"/>
        <v>0</v>
      </c>
      <c r="J106" s="8">
        <f t="shared" si="9"/>
        <v>0</v>
      </c>
    </row>
    <row r="107" spans="1:10" x14ac:dyDescent="0.25">
      <c r="A107" s="3">
        <v>41744</v>
      </c>
      <c r="B107" s="13" t="str">
        <f t="shared" si="5"/>
        <v>Mon</v>
      </c>
      <c r="C107" s="7">
        <f t="shared" si="6"/>
        <v>16</v>
      </c>
      <c r="H107" s="14" t="str">
        <f t="shared" si="7"/>
        <v>7:48</v>
      </c>
      <c r="I107" s="14">
        <f t="shared" si="8"/>
        <v>0</v>
      </c>
      <c r="J107" s="8">
        <f t="shared" si="9"/>
        <v>0</v>
      </c>
    </row>
    <row r="108" spans="1:10" x14ac:dyDescent="0.25">
      <c r="A108" s="3">
        <v>41745</v>
      </c>
      <c r="B108" s="13" t="str">
        <f t="shared" si="5"/>
        <v>Tue</v>
      </c>
      <c r="C108" s="7">
        <f t="shared" si="6"/>
        <v>16</v>
      </c>
      <c r="H108" s="14" t="str">
        <f t="shared" si="7"/>
        <v>7:48</v>
      </c>
      <c r="I108" s="14">
        <f t="shared" si="8"/>
        <v>0</v>
      </c>
      <c r="J108" s="8">
        <f t="shared" si="9"/>
        <v>0</v>
      </c>
    </row>
    <row r="109" spans="1:10" x14ac:dyDescent="0.25">
      <c r="A109" s="3">
        <v>41746</v>
      </c>
      <c r="B109" s="13" t="str">
        <f t="shared" si="5"/>
        <v>Wed</v>
      </c>
      <c r="C109" s="7">
        <f t="shared" si="6"/>
        <v>16</v>
      </c>
      <c r="H109" s="14" t="str">
        <f t="shared" si="7"/>
        <v>7:48</v>
      </c>
      <c r="I109" s="14">
        <f t="shared" si="8"/>
        <v>0</v>
      </c>
      <c r="J109" s="8">
        <f t="shared" si="9"/>
        <v>0</v>
      </c>
    </row>
    <row r="110" spans="1:10" x14ac:dyDescent="0.25">
      <c r="A110" s="3">
        <v>41747</v>
      </c>
      <c r="B110" s="13" t="str">
        <f t="shared" si="5"/>
        <v>Thu</v>
      </c>
      <c r="C110" s="7">
        <f t="shared" si="6"/>
        <v>16</v>
      </c>
      <c r="H110" s="14" t="str">
        <f t="shared" si="7"/>
        <v>7:48</v>
      </c>
      <c r="I110" s="14">
        <f t="shared" si="8"/>
        <v>0</v>
      </c>
      <c r="J110" s="8">
        <f t="shared" si="9"/>
        <v>0</v>
      </c>
    </row>
    <row r="111" spans="1:10" x14ac:dyDescent="0.25">
      <c r="A111" s="3">
        <v>41748</v>
      </c>
      <c r="B111" s="13" t="str">
        <f t="shared" si="5"/>
        <v>Fri</v>
      </c>
      <c r="C111" s="7">
        <f t="shared" si="6"/>
        <v>16</v>
      </c>
      <c r="H111" s="14" t="str">
        <f t="shared" si="7"/>
        <v>7:48</v>
      </c>
      <c r="I111" s="14">
        <f t="shared" si="8"/>
        <v>0</v>
      </c>
      <c r="J111" s="8">
        <f t="shared" si="9"/>
        <v>0</v>
      </c>
    </row>
    <row r="112" spans="1:10" x14ac:dyDescent="0.25">
      <c r="A112" s="3">
        <v>41749</v>
      </c>
      <c r="B112" s="13" t="str">
        <f t="shared" si="5"/>
        <v>Sat</v>
      </c>
      <c r="C112" s="7">
        <f t="shared" si="6"/>
        <v>16</v>
      </c>
      <c r="H112" s="14" t="str">
        <f t="shared" si="7"/>
        <v>0:00</v>
      </c>
      <c r="I112" s="14">
        <f t="shared" si="8"/>
        <v>0</v>
      </c>
      <c r="J112" s="8">
        <f t="shared" si="9"/>
        <v>0</v>
      </c>
    </row>
    <row r="113" spans="1:10" x14ac:dyDescent="0.25">
      <c r="A113" s="3">
        <v>41750</v>
      </c>
      <c r="B113" s="13" t="str">
        <f t="shared" si="5"/>
        <v>Sun</v>
      </c>
      <c r="C113" s="7">
        <f t="shared" si="6"/>
        <v>16</v>
      </c>
      <c r="H113" s="14" t="str">
        <f t="shared" si="7"/>
        <v>0:00</v>
      </c>
      <c r="I113" s="14">
        <f t="shared" si="8"/>
        <v>0</v>
      </c>
      <c r="J113" s="8">
        <f t="shared" si="9"/>
        <v>0</v>
      </c>
    </row>
    <row r="114" spans="1:10" x14ac:dyDescent="0.25">
      <c r="A114" s="3">
        <v>41751</v>
      </c>
      <c r="B114" s="13" t="str">
        <f t="shared" si="5"/>
        <v>Mon</v>
      </c>
      <c r="C114" s="7">
        <f t="shared" si="6"/>
        <v>17</v>
      </c>
      <c r="H114" s="14" t="str">
        <f t="shared" si="7"/>
        <v>7:48</v>
      </c>
      <c r="I114" s="14">
        <f t="shared" si="8"/>
        <v>0</v>
      </c>
      <c r="J114" s="8">
        <f t="shared" si="9"/>
        <v>0</v>
      </c>
    </row>
    <row r="115" spans="1:10" x14ac:dyDescent="0.25">
      <c r="A115" s="3">
        <v>41752</v>
      </c>
      <c r="B115" s="13" t="str">
        <f t="shared" si="5"/>
        <v>Tue</v>
      </c>
      <c r="C115" s="7">
        <f t="shared" si="6"/>
        <v>17</v>
      </c>
      <c r="H115" s="14" t="str">
        <f t="shared" si="7"/>
        <v>7:48</v>
      </c>
      <c r="I115" s="14">
        <f t="shared" si="8"/>
        <v>0</v>
      </c>
      <c r="J115" s="8">
        <f t="shared" si="9"/>
        <v>0</v>
      </c>
    </row>
    <row r="116" spans="1:10" x14ac:dyDescent="0.25">
      <c r="A116" s="3">
        <v>41753</v>
      </c>
      <c r="B116" s="13" t="str">
        <f t="shared" si="5"/>
        <v>Wed</v>
      </c>
      <c r="C116" s="7">
        <f t="shared" si="6"/>
        <v>17</v>
      </c>
      <c r="H116" s="14" t="str">
        <f t="shared" si="7"/>
        <v>7:48</v>
      </c>
      <c r="I116" s="14">
        <f t="shared" si="8"/>
        <v>0</v>
      </c>
      <c r="J116" s="8">
        <f t="shared" si="9"/>
        <v>0</v>
      </c>
    </row>
    <row r="117" spans="1:10" x14ac:dyDescent="0.25">
      <c r="A117" s="3">
        <v>41754</v>
      </c>
      <c r="B117" s="13" t="str">
        <f t="shared" si="5"/>
        <v>Thu</v>
      </c>
      <c r="C117" s="7">
        <f t="shared" si="6"/>
        <v>17</v>
      </c>
      <c r="H117" s="14" t="str">
        <f t="shared" si="7"/>
        <v>7:48</v>
      </c>
      <c r="I117" s="14">
        <f t="shared" si="8"/>
        <v>0</v>
      </c>
      <c r="J117" s="8">
        <f t="shared" si="9"/>
        <v>0</v>
      </c>
    </row>
    <row r="118" spans="1:10" x14ac:dyDescent="0.25">
      <c r="A118" s="3">
        <v>41755</v>
      </c>
      <c r="B118" s="13" t="str">
        <f t="shared" si="5"/>
        <v>Fri</v>
      </c>
      <c r="C118" s="7">
        <f t="shared" si="6"/>
        <v>17</v>
      </c>
      <c r="H118" s="14" t="str">
        <f t="shared" si="7"/>
        <v>7:48</v>
      </c>
      <c r="I118" s="14">
        <f t="shared" si="8"/>
        <v>0</v>
      </c>
      <c r="J118" s="8">
        <f t="shared" si="9"/>
        <v>0</v>
      </c>
    </row>
    <row r="119" spans="1:10" x14ac:dyDescent="0.25">
      <c r="A119" s="3">
        <v>41756</v>
      </c>
      <c r="B119" s="13" t="str">
        <f t="shared" si="5"/>
        <v>Sat</v>
      </c>
      <c r="C119" s="7">
        <f t="shared" si="6"/>
        <v>17</v>
      </c>
      <c r="H119" s="14" t="str">
        <f t="shared" si="7"/>
        <v>0:00</v>
      </c>
      <c r="I119" s="14">
        <f t="shared" si="8"/>
        <v>0</v>
      </c>
      <c r="J119" s="8">
        <f t="shared" si="9"/>
        <v>0</v>
      </c>
    </row>
    <row r="120" spans="1:10" x14ac:dyDescent="0.25">
      <c r="A120" s="3">
        <v>41757</v>
      </c>
      <c r="B120" s="13" t="str">
        <f t="shared" si="5"/>
        <v>Sun</v>
      </c>
      <c r="C120" s="7">
        <f t="shared" si="6"/>
        <v>17</v>
      </c>
      <c r="H120" s="14" t="str">
        <f t="shared" si="7"/>
        <v>0:00</v>
      </c>
      <c r="I120" s="14">
        <f t="shared" si="8"/>
        <v>0</v>
      </c>
      <c r="J120" s="8">
        <f t="shared" si="9"/>
        <v>0</v>
      </c>
    </row>
    <row r="121" spans="1:10" x14ac:dyDescent="0.25">
      <c r="A121" s="3">
        <v>41758</v>
      </c>
      <c r="B121" s="13" t="str">
        <f t="shared" si="5"/>
        <v>Mon</v>
      </c>
      <c r="C121" s="7">
        <f t="shared" si="6"/>
        <v>18</v>
      </c>
      <c r="H121" s="14" t="str">
        <f t="shared" si="7"/>
        <v>7:48</v>
      </c>
      <c r="I121" s="14">
        <f t="shared" si="8"/>
        <v>0</v>
      </c>
      <c r="J121" s="8">
        <f t="shared" si="9"/>
        <v>0</v>
      </c>
    </row>
    <row r="122" spans="1:10" x14ac:dyDescent="0.25">
      <c r="A122" s="3">
        <v>41759</v>
      </c>
      <c r="B122" s="13" t="str">
        <f t="shared" si="5"/>
        <v>Tue</v>
      </c>
      <c r="C122" s="7">
        <f t="shared" si="6"/>
        <v>18</v>
      </c>
      <c r="H122" s="14" t="str">
        <f t="shared" si="7"/>
        <v>7:48</v>
      </c>
      <c r="I122" s="14">
        <f t="shared" si="8"/>
        <v>0</v>
      </c>
      <c r="J122" s="8">
        <f t="shared" si="9"/>
        <v>0</v>
      </c>
    </row>
    <row r="123" spans="1:10" x14ac:dyDescent="0.25">
      <c r="A123" s="3">
        <v>41760</v>
      </c>
      <c r="B123" s="13" t="str">
        <f t="shared" si="5"/>
        <v>Wed</v>
      </c>
      <c r="C123" s="7">
        <f t="shared" si="6"/>
        <v>18</v>
      </c>
      <c r="H123" s="14" t="str">
        <f t="shared" si="7"/>
        <v>7:48</v>
      </c>
      <c r="I123" s="14">
        <f t="shared" si="8"/>
        <v>0</v>
      </c>
      <c r="J123" s="8">
        <f t="shared" si="9"/>
        <v>0</v>
      </c>
    </row>
    <row r="124" spans="1:10" x14ac:dyDescent="0.25">
      <c r="A124" s="3">
        <v>41761</v>
      </c>
      <c r="B124" s="13" t="str">
        <f t="shared" si="5"/>
        <v>Thu</v>
      </c>
      <c r="C124" s="7">
        <f t="shared" si="6"/>
        <v>18</v>
      </c>
      <c r="H124" s="14" t="str">
        <f t="shared" si="7"/>
        <v>7:48</v>
      </c>
      <c r="I124" s="14">
        <f t="shared" si="8"/>
        <v>0</v>
      </c>
      <c r="J124" s="8">
        <f t="shared" si="9"/>
        <v>0</v>
      </c>
    </row>
    <row r="125" spans="1:10" x14ac:dyDescent="0.25">
      <c r="A125" s="3">
        <v>41762</v>
      </c>
      <c r="B125" s="13" t="str">
        <f t="shared" si="5"/>
        <v>Fri</v>
      </c>
      <c r="C125" s="7">
        <f t="shared" si="6"/>
        <v>18</v>
      </c>
      <c r="H125" s="14" t="str">
        <f t="shared" si="7"/>
        <v>7:48</v>
      </c>
      <c r="I125" s="14">
        <f t="shared" si="8"/>
        <v>0</v>
      </c>
      <c r="J125" s="8">
        <f t="shared" si="9"/>
        <v>0</v>
      </c>
    </row>
    <row r="126" spans="1:10" x14ac:dyDescent="0.25">
      <c r="A126" s="3">
        <v>41763</v>
      </c>
      <c r="B126" s="13" t="str">
        <f t="shared" si="5"/>
        <v>Sat</v>
      </c>
      <c r="C126" s="7">
        <f t="shared" si="6"/>
        <v>18</v>
      </c>
      <c r="H126" s="14" t="str">
        <f t="shared" si="7"/>
        <v>0:00</v>
      </c>
      <c r="I126" s="14">
        <f t="shared" si="8"/>
        <v>0</v>
      </c>
      <c r="J126" s="8">
        <f t="shared" si="9"/>
        <v>0</v>
      </c>
    </row>
    <row r="127" spans="1:10" x14ac:dyDescent="0.25">
      <c r="A127" s="3">
        <v>41764</v>
      </c>
      <c r="B127" s="13" t="str">
        <f t="shared" si="5"/>
        <v>Sun</v>
      </c>
      <c r="C127" s="7">
        <f t="shared" si="6"/>
        <v>18</v>
      </c>
      <c r="H127" s="14" t="str">
        <f t="shared" si="7"/>
        <v>0:00</v>
      </c>
      <c r="I127" s="14">
        <f t="shared" si="8"/>
        <v>0</v>
      </c>
      <c r="J127" s="8">
        <f t="shared" si="9"/>
        <v>0</v>
      </c>
    </row>
    <row r="128" spans="1:10" x14ac:dyDescent="0.25">
      <c r="A128" s="3">
        <v>41765</v>
      </c>
      <c r="B128" s="13" t="str">
        <f t="shared" si="5"/>
        <v>Mon</v>
      </c>
      <c r="C128" s="7">
        <f t="shared" si="6"/>
        <v>19</v>
      </c>
      <c r="H128" s="14" t="str">
        <f t="shared" si="7"/>
        <v>7:48</v>
      </c>
      <c r="I128" s="14">
        <f t="shared" si="8"/>
        <v>0</v>
      </c>
      <c r="J128" s="8">
        <f t="shared" si="9"/>
        <v>0</v>
      </c>
    </row>
    <row r="129" spans="1:10" x14ac:dyDescent="0.25">
      <c r="A129" s="3">
        <v>41766</v>
      </c>
      <c r="B129" s="13" t="str">
        <f t="shared" si="5"/>
        <v>Tue</v>
      </c>
      <c r="C129" s="7">
        <f t="shared" si="6"/>
        <v>19</v>
      </c>
      <c r="H129" s="14" t="str">
        <f t="shared" si="7"/>
        <v>7:48</v>
      </c>
      <c r="I129" s="14">
        <f t="shared" si="8"/>
        <v>0</v>
      </c>
      <c r="J129" s="8">
        <f t="shared" si="9"/>
        <v>0</v>
      </c>
    </row>
    <row r="130" spans="1:10" x14ac:dyDescent="0.25">
      <c r="A130" s="3">
        <v>41767</v>
      </c>
      <c r="B130" s="13" t="str">
        <f t="shared" ref="B130:B193" si="10">CHOOSE(WEEKDAY($A130,2),"Mon","Tue","Wed","Thu","Fri","Sat","Sun")</f>
        <v>Wed</v>
      </c>
      <c r="C130" s="7">
        <f t="shared" ref="C130:C193" si="11">_xlfn.ISOWEEKNUM($A130)</f>
        <v>19</v>
      </c>
      <c r="H130" s="14" t="str">
        <f t="shared" ref="H130:H193" si="12">IF(WEEKDAY($A130,2)&lt;=5,"7:48","0:00")</f>
        <v>7:48</v>
      </c>
      <c r="I130" s="14">
        <f t="shared" ref="I130:I193" si="13">IF(COUNTIF(nonprod_types, $D130)&gt;0, "7:48", ($F130-$E130)-$G130)</f>
        <v>0</v>
      </c>
      <c r="J130" s="8">
        <f t="shared" ref="J130:J193" si="14">IF(D130="",0,$I130-$H130)</f>
        <v>0</v>
      </c>
    </row>
    <row r="131" spans="1:10" x14ac:dyDescent="0.25">
      <c r="A131" s="3">
        <v>41768</v>
      </c>
      <c r="B131" s="13" t="str">
        <f t="shared" si="10"/>
        <v>Thu</v>
      </c>
      <c r="C131" s="7">
        <f t="shared" si="11"/>
        <v>19</v>
      </c>
      <c r="H131" s="14" t="str">
        <f t="shared" si="12"/>
        <v>7:48</v>
      </c>
      <c r="I131" s="14">
        <f t="shared" si="13"/>
        <v>0</v>
      </c>
      <c r="J131" s="8">
        <f t="shared" si="14"/>
        <v>0</v>
      </c>
    </row>
    <row r="132" spans="1:10" x14ac:dyDescent="0.25">
      <c r="A132" s="3">
        <v>41769</v>
      </c>
      <c r="B132" s="13" t="str">
        <f t="shared" si="10"/>
        <v>Fri</v>
      </c>
      <c r="C132" s="7">
        <f t="shared" si="11"/>
        <v>19</v>
      </c>
      <c r="H132" s="14" t="str">
        <f t="shared" si="12"/>
        <v>7:48</v>
      </c>
      <c r="I132" s="14">
        <f t="shared" si="13"/>
        <v>0</v>
      </c>
      <c r="J132" s="8">
        <f t="shared" si="14"/>
        <v>0</v>
      </c>
    </row>
    <row r="133" spans="1:10" x14ac:dyDescent="0.25">
      <c r="A133" s="3">
        <v>41770</v>
      </c>
      <c r="B133" s="13" t="str">
        <f t="shared" si="10"/>
        <v>Sat</v>
      </c>
      <c r="C133" s="7">
        <f t="shared" si="11"/>
        <v>19</v>
      </c>
      <c r="H133" s="14" t="str">
        <f t="shared" si="12"/>
        <v>0:00</v>
      </c>
      <c r="I133" s="14">
        <f t="shared" si="13"/>
        <v>0</v>
      </c>
      <c r="J133" s="8">
        <f t="shared" si="14"/>
        <v>0</v>
      </c>
    </row>
    <row r="134" spans="1:10" x14ac:dyDescent="0.25">
      <c r="A134" s="3">
        <v>41771</v>
      </c>
      <c r="B134" s="13" t="str">
        <f t="shared" si="10"/>
        <v>Sun</v>
      </c>
      <c r="C134" s="7">
        <f t="shared" si="11"/>
        <v>19</v>
      </c>
      <c r="H134" s="14" t="str">
        <f t="shared" si="12"/>
        <v>0:00</v>
      </c>
      <c r="I134" s="14">
        <f t="shared" si="13"/>
        <v>0</v>
      </c>
      <c r="J134" s="8">
        <f t="shared" si="14"/>
        <v>0</v>
      </c>
    </row>
    <row r="135" spans="1:10" x14ac:dyDescent="0.25">
      <c r="A135" s="3">
        <v>41772</v>
      </c>
      <c r="B135" s="13" t="str">
        <f t="shared" si="10"/>
        <v>Mon</v>
      </c>
      <c r="C135" s="7">
        <f t="shared" si="11"/>
        <v>20</v>
      </c>
      <c r="H135" s="14" t="str">
        <f t="shared" si="12"/>
        <v>7:48</v>
      </c>
      <c r="I135" s="14">
        <f t="shared" si="13"/>
        <v>0</v>
      </c>
      <c r="J135" s="8">
        <f t="shared" si="14"/>
        <v>0</v>
      </c>
    </row>
    <row r="136" spans="1:10" x14ac:dyDescent="0.25">
      <c r="A136" s="3">
        <v>41773</v>
      </c>
      <c r="B136" s="13" t="str">
        <f t="shared" si="10"/>
        <v>Tue</v>
      </c>
      <c r="C136" s="7">
        <f t="shared" si="11"/>
        <v>20</v>
      </c>
      <c r="H136" s="14" t="str">
        <f t="shared" si="12"/>
        <v>7:48</v>
      </c>
      <c r="I136" s="14">
        <f t="shared" si="13"/>
        <v>0</v>
      </c>
      <c r="J136" s="8">
        <f t="shared" si="14"/>
        <v>0</v>
      </c>
    </row>
    <row r="137" spans="1:10" x14ac:dyDescent="0.25">
      <c r="A137" s="3">
        <v>41774</v>
      </c>
      <c r="B137" s="13" t="str">
        <f t="shared" si="10"/>
        <v>Wed</v>
      </c>
      <c r="C137" s="7">
        <f t="shared" si="11"/>
        <v>20</v>
      </c>
      <c r="H137" s="14" t="str">
        <f t="shared" si="12"/>
        <v>7:48</v>
      </c>
      <c r="I137" s="14">
        <f t="shared" si="13"/>
        <v>0</v>
      </c>
      <c r="J137" s="8">
        <f t="shared" si="14"/>
        <v>0</v>
      </c>
    </row>
    <row r="138" spans="1:10" x14ac:dyDescent="0.25">
      <c r="A138" s="3">
        <v>41775</v>
      </c>
      <c r="B138" s="13" t="str">
        <f t="shared" si="10"/>
        <v>Thu</v>
      </c>
      <c r="C138" s="7">
        <f t="shared" si="11"/>
        <v>20</v>
      </c>
      <c r="H138" s="14" t="str">
        <f t="shared" si="12"/>
        <v>7:48</v>
      </c>
      <c r="I138" s="14">
        <f t="shared" si="13"/>
        <v>0</v>
      </c>
      <c r="J138" s="8">
        <f t="shared" si="14"/>
        <v>0</v>
      </c>
    </row>
    <row r="139" spans="1:10" x14ac:dyDescent="0.25">
      <c r="A139" s="3">
        <v>41776</v>
      </c>
      <c r="B139" s="13" t="str">
        <f t="shared" si="10"/>
        <v>Fri</v>
      </c>
      <c r="C139" s="7">
        <f t="shared" si="11"/>
        <v>20</v>
      </c>
      <c r="H139" s="14" t="str">
        <f t="shared" si="12"/>
        <v>7:48</v>
      </c>
      <c r="I139" s="14">
        <f t="shared" si="13"/>
        <v>0</v>
      </c>
      <c r="J139" s="8">
        <f t="shared" si="14"/>
        <v>0</v>
      </c>
    </row>
    <row r="140" spans="1:10" x14ac:dyDescent="0.25">
      <c r="A140" s="3">
        <v>41777</v>
      </c>
      <c r="B140" s="13" t="str">
        <f t="shared" si="10"/>
        <v>Sat</v>
      </c>
      <c r="C140" s="7">
        <f t="shared" si="11"/>
        <v>20</v>
      </c>
      <c r="H140" s="14" t="str">
        <f t="shared" si="12"/>
        <v>0:00</v>
      </c>
      <c r="I140" s="14">
        <f t="shared" si="13"/>
        <v>0</v>
      </c>
      <c r="J140" s="8">
        <f t="shared" si="14"/>
        <v>0</v>
      </c>
    </row>
    <row r="141" spans="1:10" x14ac:dyDescent="0.25">
      <c r="A141" s="3">
        <v>41778</v>
      </c>
      <c r="B141" s="13" t="str">
        <f t="shared" si="10"/>
        <v>Sun</v>
      </c>
      <c r="C141" s="7">
        <f t="shared" si="11"/>
        <v>20</v>
      </c>
      <c r="H141" s="14" t="str">
        <f t="shared" si="12"/>
        <v>0:00</v>
      </c>
      <c r="I141" s="14">
        <f t="shared" si="13"/>
        <v>0</v>
      </c>
      <c r="J141" s="8">
        <f t="shared" si="14"/>
        <v>0</v>
      </c>
    </row>
    <row r="142" spans="1:10" x14ac:dyDescent="0.25">
      <c r="A142" s="3">
        <v>41779</v>
      </c>
      <c r="B142" s="13" t="str">
        <f t="shared" si="10"/>
        <v>Mon</v>
      </c>
      <c r="C142" s="7">
        <f t="shared" si="11"/>
        <v>21</v>
      </c>
      <c r="H142" s="14" t="str">
        <f t="shared" si="12"/>
        <v>7:48</v>
      </c>
      <c r="I142" s="14">
        <f t="shared" si="13"/>
        <v>0</v>
      </c>
      <c r="J142" s="8">
        <f t="shared" si="14"/>
        <v>0</v>
      </c>
    </row>
    <row r="143" spans="1:10" x14ac:dyDescent="0.25">
      <c r="A143" s="3">
        <v>41780</v>
      </c>
      <c r="B143" s="13" t="str">
        <f t="shared" si="10"/>
        <v>Tue</v>
      </c>
      <c r="C143" s="7">
        <f t="shared" si="11"/>
        <v>21</v>
      </c>
      <c r="H143" s="14" t="str">
        <f t="shared" si="12"/>
        <v>7:48</v>
      </c>
      <c r="I143" s="14">
        <f t="shared" si="13"/>
        <v>0</v>
      </c>
      <c r="J143" s="8">
        <f t="shared" si="14"/>
        <v>0</v>
      </c>
    </row>
    <row r="144" spans="1:10" x14ac:dyDescent="0.25">
      <c r="A144" s="3">
        <v>41781</v>
      </c>
      <c r="B144" s="13" t="str">
        <f t="shared" si="10"/>
        <v>Wed</v>
      </c>
      <c r="C144" s="7">
        <f t="shared" si="11"/>
        <v>21</v>
      </c>
      <c r="H144" s="14" t="str">
        <f t="shared" si="12"/>
        <v>7:48</v>
      </c>
      <c r="I144" s="14">
        <f t="shared" si="13"/>
        <v>0</v>
      </c>
      <c r="J144" s="8">
        <f t="shared" si="14"/>
        <v>0</v>
      </c>
    </row>
    <row r="145" spans="1:10" x14ac:dyDescent="0.25">
      <c r="A145" s="3">
        <v>41782</v>
      </c>
      <c r="B145" s="13" t="str">
        <f t="shared" si="10"/>
        <v>Thu</v>
      </c>
      <c r="C145" s="7">
        <f t="shared" si="11"/>
        <v>21</v>
      </c>
      <c r="H145" s="14" t="str">
        <f t="shared" si="12"/>
        <v>7:48</v>
      </c>
      <c r="I145" s="14">
        <f t="shared" si="13"/>
        <v>0</v>
      </c>
      <c r="J145" s="8">
        <f t="shared" si="14"/>
        <v>0</v>
      </c>
    </row>
    <row r="146" spans="1:10" x14ac:dyDescent="0.25">
      <c r="A146" s="3">
        <v>41783</v>
      </c>
      <c r="B146" s="13" t="str">
        <f t="shared" si="10"/>
        <v>Fri</v>
      </c>
      <c r="C146" s="7">
        <f t="shared" si="11"/>
        <v>21</v>
      </c>
      <c r="H146" s="14" t="str">
        <f t="shared" si="12"/>
        <v>7:48</v>
      </c>
      <c r="I146" s="14">
        <f t="shared" si="13"/>
        <v>0</v>
      </c>
      <c r="J146" s="8">
        <f t="shared" si="14"/>
        <v>0</v>
      </c>
    </row>
    <row r="147" spans="1:10" x14ac:dyDescent="0.25">
      <c r="A147" s="3">
        <v>41784</v>
      </c>
      <c r="B147" s="13" t="str">
        <f t="shared" si="10"/>
        <v>Sat</v>
      </c>
      <c r="C147" s="7">
        <f t="shared" si="11"/>
        <v>21</v>
      </c>
      <c r="H147" s="14" t="str">
        <f t="shared" si="12"/>
        <v>0:00</v>
      </c>
      <c r="I147" s="14">
        <f t="shared" si="13"/>
        <v>0</v>
      </c>
      <c r="J147" s="8">
        <f t="shared" si="14"/>
        <v>0</v>
      </c>
    </row>
    <row r="148" spans="1:10" x14ac:dyDescent="0.25">
      <c r="A148" s="3">
        <v>41785</v>
      </c>
      <c r="B148" s="13" t="str">
        <f t="shared" si="10"/>
        <v>Sun</v>
      </c>
      <c r="C148" s="7">
        <f t="shared" si="11"/>
        <v>21</v>
      </c>
      <c r="H148" s="14" t="str">
        <f t="shared" si="12"/>
        <v>0:00</v>
      </c>
      <c r="I148" s="14">
        <f t="shared" si="13"/>
        <v>0</v>
      </c>
      <c r="J148" s="8">
        <f t="shared" si="14"/>
        <v>0</v>
      </c>
    </row>
    <row r="149" spans="1:10" x14ac:dyDescent="0.25">
      <c r="A149" s="3">
        <v>41786</v>
      </c>
      <c r="B149" s="13" t="str">
        <f t="shared" si="10"/>
        <v>Mon</v>
      </c>
      <c r="C149" s="7">
        <f t="shared" si="11"/>
        <v>22</v>
      </c>
      <c r="H149" s="14" t="str">
        <f t="shared" si="12"/>
        <v>7:48</v>
      </c>
      <c r="I149" s="14">
        <f t="shared" si="13"/>
        <v>0</v>
      </c>
      <c r="J149" s="8">
        <f t="shared" si="14"/>
        <v>0</v>
      </c>
    </row>
    <row r="150" spans="1:10" x14ac:dyDescent="0.25">
      <c r="A150" s="3">
        <v>41787</v>
      </c>
      <c r="B150" s="13" t="str">
        <f t="shared" si="10"/>
        <v>Tue</v>
      </c>
      <c r="C150" s="7">
        <f t="shared" si="11"/>
        <v>22</v>
      </c>
      <c r="H150" s="14" t="str">
        <f t="shared" si="12"/>
        <v>7:48</v>
      </c>
      <c r="I150" s="14">
        <f t="shared" si="13"/>
        <v>0</v>
      </c>
      <c r="J150" s="8">
        <f t="shared" si="14"/>
        <v>0</v>
      </c>
    </row>
    <row r="151" spans="1:10" x14ac:dyDescent="0.25">
      <c r="A151" s="3">
        <v>41788</v>
      </c>
      <c r="B151" s="13" t="str">
        <f t="shared" si="10"/>
        <v>Wed</v>
      </c>
      <c r="C151" s="7">
        <f t="shared" si="11"/>
        <v>22</v>
      </c>
      <c r="H151" s="14" t="str">
        <f t="shared" si="12"/>
        <v>7:48</v>
      </c>
      <c r="I151" s="14">
        <f t="shared" si="13"/>
        <v>0</v>
      </c>
      <c r="J151" s="8">
        <f t="shared" si="14"/>
        <v>0</v>
      </c>
    </row>
    <row r="152" spans="1:10" x14ac:dyDescent="0.25">
      <c r="A152" s="3">
        <v>41789</v>
      </c>
      <c r="B152" s="13" t="str">
        <f t="shared" si="10"/>
        <v>Thu</v>
      </c>
      <c r="C152" s="7">
        <f t="shared" si="11"/>
        <v>22</v>
      </c>
      <c r="H152" s="14" t="str">
        <f t="shared" si="12"/>
        <v>7:48</v>
      </c>
      <c r="I152" s="14">
        <f t="shared" si="13"/>
        <v>0</v>
      </c>
      <c r="J152" s="8">
        <f t="shared" si="14"/>
        <v>0</v>
      </c>
    </row>
    <row r="153" spans="1:10" x14ac:dyDescent="0.25">
      <c r="A153" s="3">
        <v>41790</v>
      </c>
      <c r="B153" s="13" t="str">
        <f t="shared" si="10"/>
        <v>Fri</v>
      </c>
      <c r="C153" s="7">
        <f t="shared" si="11"/>
        <v>22</v>
      </c>
      <c r="H153" s="14" t="str">
        <f t="shared" si="12"/>
        <v>7:48</v>
      </c>
      <c r="I153" s="14">
        <f t="shared" si="13"/>
        <v>0</v>
      </c>
      <c r="J153" s="8">
        <f t="shared" si="14"/>
        <v>0</v>
      </c>
    </row>
    <row r="154" spans="1:10" x14ac:dyDescent="0.25">
      <c r="A154" s="3">
        <v>41791</v>
      </c>
      <c r="B154" s="13" t="str">
        <f t="shared" si="10"/>
        <v>Sat</v>
      </c>
      <c r="C154" s="7">
        <f t="shared" si="11"/>
        <v>22</v>
      </c>
      <c r="H154" s="14" t="str">
        <f t="shared" si="12"/>
        <v>0:00</v>
      </c>
      <c r="I154" s="14">
        <f t="shared" si="13"/>
        <v>0</v>
      </c>
      <c r="J154" s="8">
        <f t="shared" si="14"/>
        <v>0</v>
      </c>
    </row>
    <row r="155" spans="1:10" x14ac:dyDescent="0.25">
      <c r="A155" s="3">
        <v>41792</v>
      </c>
      <c r="B155" s="13" t="str">
        <f t="shared" si="10"/>
        <v>Sun</v>
      </c>
      <c r="C155" s="7">
        <f t="shared" si="11"/>
        <v>22</v>
      </c>
      <c r="H155" s="14" t="str">
        <f t="shared" si="12"/>
        <v>0:00</v>
      </c>
      <c r="I155" s="14">
        <f t="shared" si="13"/>
        <v>0</v>
      </c>
      <c r="J155" s="8">
        <f t="shared" si="14"/>
        <v>0</v>
      </c>
    </row>
    <row r="156" spans="1:10" x14ac:dyDescent="0.25">
      <c r="A156" s="3">
        <v>41793</v>
      </c>
      <c r="B156" s="13" t="str">
        <f t="shared" si="10"/>
        <v>Mon</v>
      </c>
      <c r="C156" s="7">
        <f t="shared" si="11"/>
        <v>23</v>
      </c>
      <c r="H156" s="14" t="str">
        <f t="shared" si="12"/>
        <v>7:48</v>
      </c>
      <c r="I156" s="14">
        <f t="shared" si="13"/>
        <v>0</v>
      </c>
      <c r="J156" s="8">
        <f t="shared" si="14"/>
        <v>0</v>
      </c>
    </row>
    <row r="157" spans="1:10" x14ac:dyDescent="0.25">
      <c r="A157" s="3">
        <v>41794</v>
      </c>
      <c r="B157" s="13" t="str">
        <f t="shared" si="10"/>
        <v>Tue</v>
      </c>
      <c r="C157" s="7">
        <f t="shared" si="11"/>
        <v>23</v>
      </c>
      <c r="H157" s="14" t="str">
        <f t="shared" si="12"/>
        <v>7:48</v>
      </c>
      <c r="I157" s="14">
        <f t="shared" si="13"/>
        <v>0</v>
      </c>
      <c r="J157" s="8">
        <f t="shared" si="14"/>
        <v>0</v>
      </c>
    </row>
    <row r="158" spans="1:10" x14ac:dyDescent="0.25">
      <c r="A158" s="3">
        <v>41795</v>
      </c>
      <c r="B158" s="13" t="str">
        <f t="shared" si="10"/>
        <v>Wed</v>
      </c>
      <c r="C158" s="7">
        <f t="shared" si="11"/>
        <v>23</v>
      </c>
      <c r="H158" s="14" t="str">
        <f t="shared" si="12"/>
        <v>7:48</v>
      </c>
      <c r="I158" s="14">
        <f t="shared" si="13"/>
        <v>0</v>
      </c>
      <c r="J158" s="8">
        <f t="shared" si="14"/>
        <v>0</v>
      </c>
    </row>
    <row r="159" spans="1:10" x14ac:dyDescent="0.25">
      <c r="A159" s="3">
        <v>41796</v>
      </c>
      <c r="B159" s="13" t="str">
        <f t="shared" si="10"/>
        <v>Thu</v>
      </c>
      <c r="C159" s="7">
        <f t="shared" si="11"/>
        <v>23</v>
      </c>
      <c r="H159" s="14" t="str">
        <f t="shared" si="12"/>
        <v>7:48</v>
      </c>
      <c r="I159" s="14">
        <f t="shared" si="13"/>
        <v>0</v>
      </c>
      <c r="J159" s="8">
        <f t="shared" si="14"/>
        <v>0</v>
      </c>
    </row>
    <row r="160" spans="1:10" x14ac:dyDescent="0.25">
      <c r="A160" s="3">
        <v>41797</v>
      </c>
      <c r="B160" s="13" t="str">
        <f t="shared" si="10"/>
        <v>Fri</v>
      </c>
      <c r="C160" s="7">
        <f t="shared" si="11"/>
        <v>23</v>
      </c>
      <c r="H160" s="14" t="str">
        <f t="shared" si="12"/>
        <v>7:48</v>
      </c>
      <c r="I160" s="14">
        <f t="shared" si="13"/>
        <v>0</v>
      </c>
      <c r="J160" s="8">
        <f t="shared" si="14"/>
        <v>0</v>
      </c>
    </row>
    <row r="161" spans="1:10" x14ac:dyDescent="0.25">
      <c r="A161" s="3">
        <v>41798</v>
      </c>
      <c r="B161" s="13" t="str">
        <f t="shared" si="10"/>
        <v>Sat</v>
      </c>
      <c r="C161" s="7">
        <f t="shared" si="11"/>
        <v>23</v>
      </c>
      <c r="H161" s="14" t="str">
        <f t="shared" si="12"/>
        <v>0:00</v>
      </c>
      <c r="I161" s="14">
        <f t="shared" si="13"/>
        <v>0</v>
      </c>
      <c r="J161" s="8">
        <f t="shared" si="14"/>
        <v>0</v>
      </c>
    </row>
    <row r="162" spans="1:10" x14ac:dyDescent="0.25">
      <c r="A162" s="3">
        <v>41799</v>
      </c>
      <c r="B162" s="13" t="str">
        <f t="shared" si="10"/>
        <v>Sun</v>
      </c>
      <c r="C162" s="7">
        <f t="shared" si="11"/>
        <v>23</v>
      </c>
      <c r="H162" s="14" t="str">
        <f t="shared" si="12"/>
        <v>0:00</v>
      </c>
      <c r="I162" s="14">
        <f t="shared" si="13"/>
        <v>0</v>
      </c>
      <c r="J162" s="8">
        <f t="shared" si="14"/>
        <v>0</v>
      </c>
    </row>
    <row r="163" spans="1:10" x14ac:dyDescent="0.25">
      <c r="A163" s="3">
        <v>41800</v>
      </c>
      <c r="B163" s="13" t="str">
        <f t="shared" si="10"/>
        <v>Mon</v>
      </c>
      <c r="C163" s="7">
        <f t="shared" si="11"/>
        <v>24</v>
      </c>
      <c r="H163" s="14" t="str">
        <f t="shared" si="12"/>
        <v>7:48</v>
      </c>
      <c r="I163" s="14">
        <f t="shared" si="13"/>
        <v>0</v>
      </c>
      <c r="J163" s="8">
        <f t="shared" si="14"/>
        <v>0</v>
      </c>
    </row>
    <row r="164" spans="1:10" x14ac:dyDescent="0.25">
      <c r="A164" s="3">
        <v>41801</v>
      </c>
      <c r="B164" s="13" t="str">
        <f t="shared" si="10"/>
        <v>Tue</v>
      </c>
      <c r="C164" s="7">
        <f t="shared" si="11"/>
        <v>24</v>
      </c>
      <c r="H164" s="14" t="str">
        <f t="shared" si="12"/>
        <v>7:48</v>
      </c>
      <c r="I164" s="14">
        <f t="shared" si="13"/>
        <v>0</v>
      </c>
      <c r="J164" s="8">
        <f t="shared" si="14"/>
        <v>0</v>
      </c>
    </row>
    <row r="165" spans="1:10" x14ac:dyDescent="0.25">
      <c r="A165" s="3">
        <v>41802</v>
      </c>
      <c r="B165" s="13" t="str">
        <f t="shared" si="10"/>
        <v>Wed</v>
      </c>
      <c r="C165" s="7">
        <f t="shared" si="11"/>
        <v>24</v>
      </c>
      <c r="H165" s="14" t="str">
        <f t="shared" si="12"/>
        <v>7:48</v>
      </c>
      <c r="I165" s="14">
        <f t="shared" si="13"/>
        <v>0</v>
      </c>
      <c r="J165" s="8">
        <f t="shared" si="14"/>
        <v>0</v>
      </c>
    </row>
    <row r="166" spans="1:10" x14ac:dyDescent="0.25">
      <c r="A166" s="3">
        <v>41803</v>
      </c>
      <c r="B166" s="13" t="str">
        <f t="shared" si="10"/>
        <v>Thu</v>
      </c>
      <c r="C166" s="7">
        <f t="shared" si="11"/>
        <v>24</v>
      </c>
      <c r="H166" s="14" t="str">
        <f t="shared" si="12"/>
        <v>7:48</v>
      </c>
      <c r="I166" s="14">
        <f t="shared" si="13"/>
        <v>0</v>
      </c>
      <c r="J166" s="8">
        <f t="shared" si="14"/>
        <v>0</v>
      </c>
    </row>
    <row r="167" spans="1:10" x14ac:dyDescent="0.25">
      <c r="A167" s="3">
        <v>41804</v>
      </c>
      <c r="B167" s="13" t="str">
        <f t="shared" si="10"/>
        <v>Fri</v>
      </c>
      <c r="C167" s="7">
        <f t="shared" si="11"/>
        <v>24</v>
      </c>
      <c r="H167" s="14" t="str">
        <f t="shared" si="12"/>
        <v>7:48</v>
      </c>
      <c r="I167" s="14">
        <f t="shared" si="13"/>
        <v>0</v>
      </c>
      <c r="J167" s="8">
        <f t="shared" si="14"/>
        <v>0</v>
      </c>
    </row>
    <row r="168" spans="1:10" x14ac:dyDescent="0.25">
      <c r="A168" s="3">
        <v>41805</v>
      </c>
      <c r="B168" s="13" t="str">
        <f t="shared" si="10"/>
        <v>Sat</v>
      </c>
      <c r="C168" s="7">
        <f t="shared" si="11"/>
        <v>24</v>
      </c>
      <c r="H168" s="14" t="str">
        <f t="shared" si="12"/>
        <v>0:00</v>
      </c>
      <c r="I168" s="14">
        <f t="shared" si="13"/>
        <v>0</v>
      </c>
      <c r="J168" s="8">
        <f t="shared" si="14"/>
        <v>0</v>
      </c>
    </row>
    <row r="169" spans="1:10" x14ac:dyDescent="0.25">
      <c r="A169" s="3">
        <v>41806</v>
      </c>
      <c r="B169" s="13" t="str">
        <f t="shared" si="10"/>
        <v>Sun</v>
      </c>
      <c r="C169" s="7">
        <f t="shared" si="11"/>
        <v>24</v>
      </c>
      <c r="H169" s="14" t="str">
        <f t="shared" si="12"/>
        <v>0:00</v>
      </c>
      <c r="I169" s="14">
        <f t="shared" si="13"/>
        <v>0</v>
      </c>
      <c r="J169" s="8">
        <f t="shared" si="14"/>
        <v>0</v>
      </c>
    </row>
    <row r="170" spans="1:10" x14ac:dyDescent="0.25">
      <c r="A170" s="3">
        <v>41807</v>
      </c>
      <c r="B170" s="13" t="str">
        <f t="shared" si="10"/>
        <v>Mon</v>
      </c>
      <c r="C170" s="7">
        <f t="shared" si="11"/>
        <v>25</v>
      </c>
      <c r="H170" s="14" t="str">
        <f t="shared" si="12"/>
        <v>7:48</v>
      </c>
      <c r="I170" s="14">
        <f t="shared" si="13"/>
        <v>0</v>
      </c>
      <c r="J170" s="8">
        <f t="shared" si="14"/>
        <v>0</v>
      </c>
    </row>
    <row r="171" spans="1:10" x14ac:dyDescent="0.25">
      <c r="A171" s="3">
        <v>41808</v>
      </c>
      <c r="B171" s="13" t="str">
        <f t="shared" si="10"/>
        <v>Tue</v>
      </c>
      <c r="C171" s="7">
        <f t="shared" si="11"/>
        <v>25</v>
      </c>
      <c r="H171" s="14" t="str">
        <f t="shared" si="12"/>
        <v>7:48</v>
      </c>
      <c r="I171" s="14">
        <f t="shared" si="13"/>
        <v>0</v>
      </c>
      <c r="J171" s="8">
        <f t="shared" si="14"/>
        <v>0</v>
      </c>
    </row>
    <row r="172" spans="1:10" x14ac:dyDescent="0.25">
      <c r="A172" s="3">
        <v>41809</v>
      </c>
      <c r="B172" s="13" t="str">
        <f t="shared" si="10"/>
        <v>Wed</v>
      </c>
      <c r="C172" s="7">
        <f t="shared" si="11"/>
        <v>25</v>
      </c>
      <c r="H172" s="14" t="str">
        <f t="shared" si="12"/>
        <v>7:48</v>
      </c>
      <c r="I172" s="14">
        <f t="shared" si="13"/>
        <v>0</v>
      </c>
      <c r="J172" s="8">
        <f t="shared" si="14"/>
        <v>0</v>
      </c>
    </row>
    <row r="173" spans="1:10" x14ac:dyDescent="0.25">
      <c r="A173" s="3">
        <v>41810</v>
      </c>
      <c r="B173" s="13" t="str">
        <f t="shared" si="10"/>
        <v>Thu</v>
      </c>
      <c r="C173" s="7">
        <f t="shared" si="11"/>
        <v>25</v>
      </c>
      <c r="H173" s="14" t="str">
        <f t="shared" si="12"/>
        <v>7:48</v>
      </c>
      <c r="I173" s="14">
        <f t="shared" si="13"/>
        <v>0</v>
      </c>
      <c r="J173" s="8">
        <f t="shared" si="14"/>
        <v>0</v>
      </c>
    </row>
    <row r="174" spans="1:10" x14ac:dyDescent="0.25">
      <c r="A174" s="3">
        <v>41811</v>
      </c>
      <c r="B174" s="13" t="str">
        <f t="shared" si="10"/>
        <v>Fri</v>
      </c>
      <c r="C174" s="7">
        <f t="shared" si="11"/>
        <v>25</v>
      </c>
      <c r="H174" s="14" t="str">
        <f t="shared" si="12"/>
        <v>7:48</v>
      </c>
      <c r="I174" s="14">
        <f t="shared" si="13"/>
        <v>0</v>
      </c>
      <c r="J174" s="8">
        <f t="shared" si="14"/>
        <v>0</v>
      </c>
    </row>
    <row r="175" spans="1:10" x14ac:dyDescent="0.25">
      <c r="A175" s="3">
        <v>41812</v>
      </c>
      <c r="B175" s="13" t="str">
        <f t="shared" si="10"/>
        <v>Sat</v>
      </c>
      <c r="C175" s="7">
        <f t="shared" si="11"/>
        <v>25</v>
      </c>
      <c r="H175" s="14" t="str">
        <f t="shared" si="12"/>
        <v>0:00</v>
      </c>
      <c r="I175" s="14">
        <f t="shared" si="13"/>
        <v>0</v>
      </c>
      <c r="J175" s="8">
        <f t="shared" si="14"/>
        <v>0</v>
      </c>
    </row>
    <row r="176" spans="1:10" x14ac:dyDescent="0.25">
      <c r="A176" s="3">
        <v>41813</v>
      </c>
      <c r="B176" s="13" t="str">
        <f t="shared" si="10"/>
        <v>Sun</v>
      </c>
      <c r="C176" s="7">
        <f t="shared" si="11"/>
        <v>25</v>
      </c>
      <c r="H176" s="14" t="str">
        <f t="shared" si="12"/>
        <v>0:00</v>
      </c>
      <c r="I176" s="14">
        <f t="shared" si="13"/>
        <v>0</v>
      </c>
      <c r="J176" s="8">
        <f t="shared" si="14"/>
        <v>0</v>
      </c>
    </row>
    <row r="177" spans="1:10" x14ac:dyDescent="0.25">
      <c r="A177" s="3">
        <v>41814</v>
      </c>
      <c r="B177" s="13" t="str">
        <f t="shared" si="10"/>
        <v>Mon</v>
      </c>
      <c r="C177" s="7">
        <f t="shared" si="11"/>
        <v>26</v>
      </c>
      <c r="H177" s="14" t="str">
        <f t="shared" si="12"/>
        <v>7:48</v>
      </c>
      <c r="I177" s="14">
        <f t="shared" si="13"/>
        <v>0</v>
      </c>
      <c r="J177" s="8">
        <f t="shared" si="14"/>
        <v>0</v>
      </c>
    </row>
    <row r="178" spans="1:10" x14ac:dyDescent="0.25">
      <c r="A178" s="3">
        <v>41815</v>
      </c>
      <c r="B178" s="13" t="str">
        <f t="shared" si="10"/>
        <v>Tue</v>
      </c>
      <c r="C178" s="7">
        <f t="shared" si="11"/>
        <v>26</v>
      </c>
      <c r="H178" s="14" t="str">
        <f t="shared" si="12"/>
        <v>7:48</v>
      </c>
      <c r="I178" s="14">
        <f t="shared" si="13"/>
        <v>0</v>
      </c>
      <c r="J178" s="8">
        <f t="shared" si="14"/>
        <v>0</v>
      </c>
    </row>
    <row r="179" spans="1:10" x14ac:dyDescent="0.25">
      <c r="A179" s="3">
        <v>41816</v>
      </c>
      <c r="B179" s="13" t="str">
        <f t="shared" si="10"/>
        <v>Wed</v>
      </c>
      <c r="C179" s="7">
        <f t="shared" si="11"/>
        <v>26</v>
      </c>
      <c r="H179" s="14" t="str">
        <f t="shared" si="12"/>
        <v>7:48</v>
      </c>
      <c r="I179" s="14">
        <f t="shared" si="13"/>
        <v>0</v>
      </c>
      <c r="J179" s="8">
        <f t="shared" si="14"/>
        <v>0</v>
      </c>
    </row>
    <row r="180" spans="1:10" x14ac:dyDescent="0.25">
      <c r="A180" s="3">
        <v>41817</v>
      </c>
      <c r="B180" s="13" t="str">
        <f t="shared" si="10"/>
        <v>Thu</v>
      </c>
      <c r="C180" s="7">
        <f t="shared" si="11"/>
        <v>26</v>
      </c>
      <c r="H180" s="14" t="str">
        <f t="shared" si="12"/>
        <v>7:48</v>
      </c>
      <c r="I180" s="14">
        <f t="shared" si="13"/>
        <v>0</v>
      </c>
      <c r="J180" s="8">
        <f t="shared" si="14"/>
        <v>0</v>
      </c>
    </row>
    <row r="181" spans="1:10" x14ac:dyDescent="0.25">
      <c r="A181" s="3">
        <v>41818</v>
      </c>
      <c r="B181" s="13" t="str">
        <f t="shared" si="10"/>
        <v>Fri</v>
      </c>
      <c r="C181" s="7">
        <f t="shared" si="11"/>
        <v>26</v>
      </c>
      <c r="H181" s="14" t="str">
        <f t="shared" si="12"/>
        <v>7:48</v>
      </c>
      <c r="I181" s="14">
        <f t="shared" si="13"/>
        <v>0</v>
      </c>
      <c r="J181" s="8">
        <f t="shared" si="14"/>
        <v>0</v>
      </c>
    </row>
    <row r="182" spans="1:10" x14ac:dyDescent="0.25">
      <c r="A182" s="3">
        <v>41819</v>
      </c>
      <c r="B182" s="13" t="str">
        <f t="shared" si="10"/>
        <v>Sat</v>
      </c>
      <c r="C182" s="7">
        <f t="shared" si="11"/>
        <v>26</v>
      </c>
      <c r="H182" s="14" t="str">
        <f t="shared" si="12"/>
        <v>0:00</v>
      </c>
      <c r="I182" s="14">
        <f t="shared" si="13"/>
        <v>0</v>
      </c>
      <c r="J182" s="8">
        <f t="shared" si="14"/>
        <v>0</v>
      </c>
    </row>
    <row r="183" spans="1:10" x14ac:dyDescent="0.25">
      <c r="A183" s="3">
        <v>41820</v>
      </c>
      <c r="B183" s="13" t="str">
        <f t="shared" si="10"/>
        <v>Sun</v>
      </c>
      <c r="C183" s="7">
        <f t="shared" si="11"/>
        <v>26</v>
      </c>
      <c r="H183" s="14" t="str">
        <f t="shared" si="12"/>
        <v>0:00</v>
      </c>
      <c r="I183" s="14">
        <f t="shared" si="13"/>
        <v>0</v>
      </c>
      <c r="J183" s="8">
        <f t="shared" si="14"/>
        <v>0</v>
      </c>
    </row>
    <row r="184" spans="1:10" x14ac:dyDescent="0.25">
      <c r="A184" s="3">
        <v>41821</v>
      </c>
      <c r="B184" s="13" t="str">
        <f t="shared" si="10"/>
        <v>Mon</v>
      </c>
      <c r="C184" s="7">
        <f t="shared" si="11"/>
        <v>27</v>
      </c>
      <c r="H184" s="14" t="str">
        <f t="shared" si="12"/>
        <v>7:48</v>
      </c>
      <c r="I184" s="14">
        <f t="shared" si="13"/>
        <v>0</v>
      </c>
      <c r="J184" s="8">
        <f t="shared" si="14"/>
        <v>0</v>
      </c>
    </row>
    <row r="185" spans="1:10" x14ac:dyDescent="0.25">
      <c r="A185" s="3">
        <v>41822</v>
      </c>
      <c r="B185" s="13" t="str">
        <f t="shared" si="10"/>
        <v>Tue</v>
      </c>
      <c r="C185" s="7">
        <f t="shared" si="11"/>
        <v>27</v>
      </c>
      <c r="H185" s="14" t="str">
        <f t="shared" si="12"/>
        <v>7:48</v>
      </c>
      <c r="I185" s="14">
        <f t="shared" si="13"/>
        <v>0</v>
      </c>
      <c r="J185" s="8">
        <f t="shared" si="14"/>
        <v>0</v>
      </c>
    </row>
    <row r="186" spans="1:10" x14ac:dyDescent="0.25">
      <c r="A186" s="3">
        <v>41823</v>
      </c>
      <c r="B186" s="13" t="str">
        <f t="shared" si="10"/>
        <v>Wed</v>
      </c>
      <c r="C186" s="7">
        <f t="shared" si="11"/>
        <v>27</v>
      </c>
      <c r="H186" s="14" t="str">
        <f t="shared" si="12"/>
        <v>7:48</v>
      </c>
      <c r="I186" s="14">
        <f t="shared" si="13"/>
        <v>0</v>
      </c>
      <c r="J186" s="8">
        <f t="shared" si="14"/>
        <v>0</v>
      </c>
    </row>
    <row r="187" spans="1:10" x14ac:dyDescent="0.25">
      <c r="A187" s="3">
        <v>41824</v>
      </c>
      <c r="B187" s="13" t="str">
        <f t="shared" si="10"/>
        <v>Thu</v>
      </c>
      <c r="C187" s="7">
        <f t="shared" si="11"/>
        <v>27</v>
      </c>
      <c r="H187" s="14" t="str">
        <f t="shared" si="12"/>
        <v>7:48</v>
      </c>
      <c r="I187" s="14">
        <f t="shared" si="13"/>
        <v>0</v>
      </c>
      <c r="J187" s="8">
        <f t="shared" si="14"/>
        <v>0</v>
      </c>
    </row>
    <row r="188" spans="1:10" x14ac:dyDescent="0.25">
      <c r="A188" s="3">
        <v>41825</v>
      </c>
      <c r="B188" s="13" t="str">
        <f t="shared" si="10"/>
        <v>Fri</v>
      </c>
      <c r="C188" s="7">
        <f t="shared" si="11"/>
        <v>27</v>
      </c>
      <c r="H188" s="14" t="str">
        <f t="shared" si="12"/>
        <v>7:48</v>
      </c>
      <c r="I188" s="14">
        <f t="shared" si="13"/>
        <v>0</v>
      </c>
      <c r="J188" s="8">
        <f t="shared" si="14"/>
        <v>0</v>
      </c>
    </row>
    <row r="189" spans="1:10" x14ac:dyDescent="0.25">
      <c r="A189" s="3">
        <v>41826</v>
      </c>
      <c r="B189" s="13" t="str">
        <f t="shared" si="10"/>
        <v>Sat</v>
      </c>
      <c r="C189" s="7">
        <f t="shared" si="11"/>
        <v>27</v>
      </c>
      <c r="H189" s="14" t="str">
        <f t="shared" si="12"/>
        <v>0:00</v>
      </c>
      <c r="I189" s="14">
        <f t="shared" si="13"/>
        <v>0</v>
      </c>
      <c r="J189" s="8">
        <f t="shared" si="14"/>
        <v>0</v>
      </c>
    </row>
    <row r="190" spans="1:10" x14ac:dyDescent="0.25">
      <c r="A190" s="3">
        <v>41827</v>
      </c>
      <c r="B190" s="13" t="str">
        <f t="shared" si="10"/>
        <v>Sun</v>
      </c>
      <c r="C190" s="7">
        <f t="shared" si="11"/>
        <v>27</v>
      </c>
      <c r="H190" s="14" t="str">
        <f t="shared" si="12"/>
        <v>0:00</v>
      </c>
      <c r="I190" s="14">
        <f t="shared" si="13"/>
        <v>0</v>
      </c>
      <c r="J190" s="8">
        <f t="shared" si="14"/>
        <v>0</v>
      </c>
    </row>
    <row r="191" spans="1:10" x14ac:dyDescent="0.25">
      <c r="A191" s="3">
        <v>41828</v>
      </c>
      <c r="B191" s="13" t="str">
        <f t="shared" si="10"/>
        <v>Mon</v>
      </c>
      <c r="C191" s="7">
        <f t="shared" si="11"/>
        <v>28</v>
      </c>
      <c r="H191" s="14" t="str">
        <f t="shared" si="12"/>
        <v>7:48</v>
      </c>
      <c r="I191" s="14">
        <f t="shared" si="13"/>
        <v>0</v>
      </c>
      <c r="J191" s="8">
        <f t="shared" si="14"/>
        <v>0</v>
      </c>
    </row>
    <row r="192" spans="1:10" x14ac:dyDescent="0.25">
      <c r="A192" s="3">
        <v>41829</v>
      </c>
      <c r="B192" s="13" t="str">
        <f t="shared" si="10"/>
        <v>Tue</v>
      </c>
      <c r="C192" s="7">
        <f t="shared" si="11"/>
        <v>28</v>
      </c>
      <c r="H192" s="14" t="str">
        <f t="shared" si="12"/>
        <v>7:48</v>
      </c>
      <c r="I192" s="14">
        <f t="shared" si="13"/>
        <v>0</v>
      </c>
      <c r="J192" s="8">
        <f t="shared" si="14"/>
        <v>0</v>
      </c>
    </row>
    <row r="193" spans="1:10" x14ac:dyDescent="0.25">
      <c r="A193" s="3">
        <v>41830</v>
      </c>
      <c r="B193" s="13" t="str">
        <f t="shared" si="10"/>
        <v>Wed</v>
      </c>
      <c r="C193" s="7">
        <f t="shared" si="11"/>
        <v>28</v>
      </c>
      <c r="H193" s="14" t="str">
        <f t="shared" si="12"/>
        <v>7:48</v>
      </c>
      <c r="I193" s="14">
        <f t="shared" si="13"/>
        <v>0</v>
      </c>
      <c r="J193" s="8">
        <f t="shared" si="14"/>
        <v>0</v>
      </c>
    </row>
    <row r="194" spans="1:10" x14ac:dyDescent="0.25">
      <c r="A194" s="3">
        <v>41831</v>
      </c>
      <c r="B194" s="13" t="str">
        <f t="shared" ref="B194:B257" si="15">CHOOSE(WEEKDAY($A194,2),"Mon","Tue","Wed","Thu","Fri","Sat","Sun")</f>
        <v>Thu</v>
      </c>
      <c r="C194" s="7">
        <f t="shared" ref="C194:C257" si="16">_xlfn.ISOWEEKNUM($A194)</f>
        <v>28</v>
      </c>
      <c r="H194" s="14" t="str">
        <f t="shared" ref="H194:H257" si="17">IF(WEEKDAY($A194,2)&lt;=5,"7:48","0:00")</f>
        <v>7:48</v>
      </c>
      <c r="I194" s="14">
        <f t="shared" ref="I194:I257" si="18">IF(COUNTIF(nonprod_types, $D194)&gt;0, "7:48", ($F194-$E194)-$G194)</f>
        <v>0</v>
      </c>
      <c r="J194" s="8">
        <f t="shared" ref="J194:J257" si="19">IF(D194="",0,$I194-$H194)</f>
        <v>0</v>
      </c>
    </row>
    <row r="195" spans="1:10" x14ac:dyDescent="0.25">
      <c r="A195" s="3">
        <v>41832</v>
      </c>
      <c r="B195" s="13" t="str">
        <f t="shared" si="15"/>
        <v>Fri</v>
      </c>
      <c r="C195" s="7">
        <f t="shared" si="16"/>
        <v>28</v>
      </c>
      <c r="H195" s="14" t="str">
        <f t="shared" si="17"/>
        <v>7:48</v>
      </c>
      <c r="I195" s="14">
        <f t="shared" si="18"/>
        <v>0</v>
      </c>
      <c r="J195" s="8">
        <f t="shared" si="19"/>
        <v>0</v>
      </c>
    </row>
    <row r="196" spans="1:10" x14ac:dyDescent="0.25">
      <c r="A196" s="3">
        <v>41833</v>
      </c>
      <c r="B196" s="13" t="str">
        <f t="shared" si="15"/>
        <v>Sat</v>
      </c>
      <c r="C196" s="7">
        <f t="shared" si="16"/>
        <v>28</v>
      </c>
      <c r="H196" s="14" t="str">
        <f t="shared" si="17"/>
        <v>0:00</v>
      </c>
      <c r="I196" s="14">
        <f t="shared" si="18"/>
        <v>0</v>
      </c>
      <c r="J196" s="8">
        <f t="shared" si="19"/>
        <v>0</v>
      </c>
    </row>
    <row r="197" spans="1:10" x14ac:dyDescent="0.25">
      <c r="A197" s="3">
        <v>41834</v>
      </c>
      <c r="B197" s="13" t="str">
        <f t="shared" si="15"/>
        <v>Sun</v>
      </c>
      <c r="C197" s="7">
        <f t="shared" si="16"/>
        <v>28</v>
      </c>
      <c r="H197" s="14" t="str">
        <f t="shared" si="17"/>
        <v>0:00</v>
      </c>
      <c r="I197" s="14">
        <f t="shared" si="18"/>
        <v>0</v>
      </c>
      <c r="J197" s="8">
        <f t="shared" si="19"/>
        <v>0</v>
      </c>
    </row>
    <row r="198" spans="1:10" x14ac:dyDescent="0.25">
      <c r="A198" s="3">
        <v>41835</v>
      </c>
      <c r="B198" s="13" t="str">
        <f t="shared" si="15"/>
        <v>Mon</v>
      </c>
      <c r="C198" s="7">
        <f t="shared" si="16"/>
        <v>29</v>
      </c>
      <c r="H198" s="14" t="str">
        <f t="shared" si="17"/>
        <v>7:48</v>
      </c>
      <c r="I198" s="14">
        <f t="shared" si="18"/>
        <v>0</v>
      </c>
      <c r="J198" s="8">
        <f t="shared" si="19"/>
        <v>0</v>
      </c>
    </row>
    <row r="199" spans="1:10" x14ac:dyDescent="0.25">
      <c r="A199" s="3">
        <v>41836</v>
      </c>
      <c r="B199" s="13" t="str">
        <f t="shared" si="15"/>
        <v>Tue</v>
      </c>
      <c r="C199" s="7">
        <f t="shared" si="16"/>
        <v>29</v>
      </c>
      <c r="H199" s="14" t="str">
        <f t="shared" si="17"/>
        <v>7:48</v>
      </c>
      <c r="I199" s="14">
        <f t="shared" si="18"/>
        <v>0</v>
      </c>
      <c r="J199" s="8">
        <f t="shared" si="19"/>
        <v>0</v>
      </c>
    </row>
    <row r="200" spans="1:10" x14ac:dyDescent="0.25">
      <c r="A200" s="3">
        <v>41837</v>
      </c>
      <c r="B200" s="13" t="str">
        <f t="shared" si="15"/>
        <v>Wed</v>
      </c>
      <c r="C200" s="7">
        <f t="shared" si="16"/>
        <v>29</v>
      </c>
      <c r="H200" s="14" t="str">
        <f t="shared" si="17"/>
        <v>7:48</v>
      </c>
      <c r="I200" s="14">
        <f t="shared" si="18"/>
        <v>0</v>
      </c>
      <c r="J200" s="8">
        <f t="shared" si="19"/>
        <v>0</v>
      </c>
    </row>
    <row r="201" spans="1:10" x14ac:dyDescent="0.25">
      <c r="A201" s="3">
        <v>41838</v>
      </c>
      <c r="B201" s="13" t="str">
        <f t="shared" si="15"/>
        <v>Thu</v>
      </c>
      <c r="C201" s="7">
        <f t="shared" si="16"/>
        <v>29</v>
      </c>
      <c r="H201" s="14" t="str">
        <f t="shared" si="17"/>
        <v>7:48</v>
      </c>
      <c r="I201" s="14">
        <f t="shared" si="18"/>
        <v>0</v>
      </c>
      <c r="J201" s="8">
        <f t="shared" si="19"/>
        <v>0</v>
      </c>
    </row>
    <row r="202" spans="1:10" x14ac:dyDescent="0.25">
      <c r="A202" s="3">
        <v>41839</v>
      </c>
      <c r="B202" s="13" t="str">
        <f t="shared" si="15"/>
        <v>Fri</v>
      </c>
      <c r="C202" s="7">
        <f t="shared" si="16"/>
        <v>29</v>
      </c>
      <c r="H202" s="14" t="str">
        <f t="shared" si="17"/>
        <v>7:48</v>
      </c>
      <c r="I202" s="14">
        <f t="shared" si="18"/>
        <v>0</v>
      </c>
      <c r="J202" s="8">
        <f t="shared" si="19"/>
        <v>0</v>
      </c>
    </row>
    <row r="203" spans="1:10" x14ac:dyDescent="0.25">
      <c r="A203" s="3">
        <v>41840</v>
      </c>
      <c r="B203" s="13" t="str">
        <f t="shared" si="15"/>
        <v>Sat</v>
      </c>
      <c r="C203" s="7">
        <f t="shared" si="16"/>
        <v>29</v>
      </c>
      <c r="H203" s="14" t="str">
        <f t="shared" si="17"/>
        <v>0:00</v>
      </c>
      <c r="I203" s="14">
        <f t="shared" si="18"/>
        <v>0</v>
      </c>
      <c r="J203" s="8">
        <f t="shared" si="19"/>
        <v>0</v>
      </c>
    </row>
    <row r="204" spans="1:10" x14ac:dyDescent="0.25">
      <c r="A204" s="3">
        <v>41841</v>
      </c>
      <c r="B204" s="13" t="str">
        <f t="shared" si="15"/>
        <v>Sun</v>
      </c>
      <c r="C204" s="7">
        <f t="shared" si="16"/>
        <v>29</v>
      </c>
      <c r="H204" s="14" t="str">
        <f t="shared" si="17"/>
        <v>0:00</v>
      </c>
      <c r="I204" s="14">
        <f t="shared" si="18"/>
        <v>0</v>
      </c>
      <c r="J204" s="8">
        <f t="shared" si="19"/>
        <v>0</v>
      </c>
    </row>
    <row r="205" spans="1:10" x14ac:dyDescent="0.25">
      <c r="A205" s="3">
        <v>41842</v>
      </c>
      <c r="B205" s="13" t="str">
        <f t="shared" si="15"/>
        <v>Mon</v>
      </c>
      <c r="C205" s="7">
        <f t="shared" si="16"/>
        <v>30</v>
      </c>
      <c r="H205" s="14" t="str">
        <f t="shared" si="17"/>
        <v>7:48</v>
      </c>
      <c r="I205" s="14">
        <f t="shared" si="18"/>
        <v>0</v>
      </c>
      <c r="J205" s="8">
        <f t="shared" si="19"/>
        <v>0</v>
      </c>
    </row>
    <row r="206" spans="1:10" x14ac:dyDescent="0.25">
      <c r="A206" s="3">
        <v>41843</v>
      </c>
      <c r="B206" s="13" t="str">
        <f t="shared" si="15"/>
        <v>Tue</v>
      </c>
      <c r="C206" s="7">
        <f t="shared" si="16"/>
        <v>30</v>
      </c>
      <c r="H206" s="14" t="str">
        <f t="shared" si="17"/>
        <v>7:48</v>
      </c>
      <c r="I206" s="14">
        <f t="shared" si="18"/>
        <v>0</v>
      </c>
      <c r="J206" s="8">
        <f t="shared" si="19"/>
        <v>0</v>
      </c>
    </row>
    <row r="207" spans="1:10" x14ac:dyDescent="0.25">
      <c r="A207" s="3">
        <v>41844</v>
      </c>
      <c r="B207" s="13" t="str">
        <f t="shared" si="15"/>
        <v>Wed</v>
      </c>
      <c r="C207" s="7">
        <f t="shared" si="16"/>
        <v>30</v>
      </c>
      <c r="H207" s="14" t="str">
        <f t="shared" si="17"/>
        <v>7:48</v>
      </c>
      <c r="I207" s="14">
        <f t="shared" si="18"/>
        <v>0</v>
      </c>
      <c r="J207" s="8">
        <f t="shared" si="19"/>
        <v>0</v>
      </c>
    </row>
    <row r="208" spans="1:10" x14ac:dyDescent="0.25">
      <c r="A208" s="3">
        <v>41845</v>
      </c>
      <c r="B208" s="13" t="str">
        <f t="shared" si="15"/>
        <v>Thu</v>
      </c>
      <c r="C208" s="7">
        <f t="shared" si="16"/>
        <v>30</v>
      </c>
      <c r="H208" s="14" t="str">
        <f t="shared" si="17"/>
        <v>7:48</v>
      </c>
      <c r="I208" s="14">
        <f t="shared" si="18"/>
        <v>0</v>
      </c>
      <c r="J208" s="8">
        <f t="shared" si="19"/>
        <v>0</v>
      </c>
    </row>
    <row r="209" spans="1:10" x14ac:dyDescent="0.25">
      <c r="A209" s="3">
        <v>41846</v>
      </c>
      <c r="B209" s="13" t="str">
        <f t="shared" si="15"/>
        <v>Fri</v>
      </c>
      <c r="C209" s="7">
        <f t="shared" si="16"/>
        <v>30</v>
      </c>
      <c r="H209" s="14" t="str">
        <f t="shared" si="17"/>
        <v>7:48</v>
      </c>
      <c r="I209" s="14">
        <f t="shared" si="18"/>
        <v>0</v>
      </c>
      <c r="J209" s="8">
        <f t="shared" si="19"/>
        <v>0</v>
      </c>
    </row>
    <row r="210" spans="1:10" x14ac:dyDescent="0.25">
      <c r="A210" s="3">
        <v>41847</v>
      </c>
      <c r="B210" s="13" t="str">
        <f t="shared" si="15"/>
        <v>Sat</v>
      </c>
      <c r="C210" s="7">
        <f t="shared" si="16"/>
        <v>30</v>
      </c>
      <c r="H210" s="14" t="str">
        <f t="shared" si="17"/>
        <v>0:00</v>
      </c>
      <c r="I210" s="14">
        <f t="shared" si="18"/>
        <v>0</v>
      </c>
      <c r="J210" s="8">
        <f t="shared" si="19"/>
        <v>0</v>
      </c>
    </row>
    <row r="211" spans="1:10" x14ac:dyDescent="0.25">
      <c r="A211" s="3">
        <v>41848</v>
      </c>
      <c r="B211" s="13" t="str">
        <f t="shared" si="15"/>
        <v>Sun</v>
      </c>
      <c r="C211" s="7">
        <f t="shared" si="16"/>
        <v>30</v>
      </c>
      <c r="H211" s="14" t="str">
        <f t="shared" si="17"/>
        <v>0:00</v>
      </c>
      <c r="I211" s="14">
        <f t="shared" si="18"/>
        <v>0</v>
      </c>
      <c r="J211" s="8">
        <f t="shared" si="19"/>
        <v>0</v>
      </c>
    </row>
    <row r="212" spans="1:10" x14ac:dyDescent="0.25">
      <c r="A212" s="3">
        <v>41849</v>
      </c>
      <c r="B212" s="13" t="str">
        <f t="shared" si="15"/>
        <v>Mon</v>
      </c>
      <c r="C212" s="7">
        <f t="shared" si="16"/>
        <v>31</v>
      </c>
      <c r="H212" s="14" t="str">
        <f t="shared" si="17"/>
        <v>7:48</v>
      </c>
      <c r="I212" s="14">
        <f t="shared" si="18"/>
        <v>0</v>
      </c>
      <c r="J212" s="8">
        <f t="shared" si="19"/>
        <v>0</v>
      </c>
    </row>
    <row r="213" spans="1:10" x14ac:dyDescent="0.25">
      <c r="A213" s="3">
        <v>41850</v>
      </c>
      <c r="B213" s="13" t="str">
        <f t="shared" si="15"/>
        <v>Tue</v>
      </c>
      <c r="C213" s="7">
        <f t="shared" si="16"/>
        <v>31</v>
      </c>
      <c r="H213" s="14" t="str">
        <f t="shared" si="17"/>
        <v>7:48</v>
      </c>
      <c r="I213" s="14">
        <f t="shared" si="18"/>
        <v>0</v>
      </c>
      <c r="J213" s="8">
        <f t="shared" si="19"/>
        <v>0</v>
      </c>
    </row>
    <row r="214" spans="1:10" x14ac:dyDescent="0.25">
      <c r="A214" s="3">
        <v>41851</v>
      </c>
      <c r="B214" s="13" t="str">
        <f t="shared" si="15"/>
        <v>Wed</v>
      </c>
      <c r="C214" s="7">
        <f t="shared" si="16"/>
        <v>31</v>
      </c>
      <c r="H214" s="14" t="str">
        <f t="shared" si="17"/>
        <v>7:48</v>
      </c>
      <c r="I214" s="14">
        <f t="shared" si="18"/>
        <v>0</v>
      </c>
      <c r="J214" s="8">
        <f t="shared" si="19"/>
        <v>0</v>
      </c>
    </row>
    <row r="215" spans="1:10" x14ac:dyDescent="0.25">
      <c r="A215" s="3">
        <v>41852</v>
      </c>
      <c r="B215" s="13" t="str">
        <f t="shared" si="15"/>
        <v>Thu</v>
      </c>
      <c r="C215" s="7">
        <f t="shared" si="16"/>
        <v>31</v>
      </c>
      <c r="H215" s="14" t="str">
        <f t="shared" si="17"/>
        <v>7:48</v>
      </c>
      <c r="I215" s="14">
        <f t="shared" si="18"/>
        <v>0</v>
      </c>
      <c r="J215" s="8">
        <f t="shared" si="19"/>
        <v>0</v>
      </c>
    </row>
    <row r="216" spans="1:10" x14ac:dyDescent="0.25">
      <c r="A216" s="3">
        <v>41853</v>
      </c>
      <c r="B216" s="13" t="str">
        <f t="shared" si="15"/>
        <v>Fri</v>
      </c>
      <c r="C216" s="7">
        <f t="shared" si="16"/>
        <v>31</v>
      </c>
      <c r="H216" s="14" t="str">
        <f t="shared" si="17"/>
        <v>7:48</v>
      </c>
      <c r="I216" s="14">
        <f t="shared" si="18"/>
        <v>0</v>
      </c>
      <c r="J216" s="8">
        <f t="shared" si="19"/>
        <v>0</v>
      </c>
    </row>
    <row r="217" spans="1:10" x14ac:dyDescent="0.25">
      <c r="A217" s="3">
        <v>41854</v>
      </c>
      <c r="B217" s="13" t="str">
        <f t="shared" si="15"/>
        <v>Sat</v>
      </c>
      <c r="C217" s="7">
        <f t="shared" si="16"/>
        <v>31</v>
      </c>
      <c r="H217" s="14" t="str">
        <f t="shared" si="17"/>
        <v>0:00</v>
      </c>
      <c r="I217" s="14">
        <f t="shared" si="18"/>
        <v>0</v>
      </c>
      <c r="J217" s="8">
        <f t="shared" si="19"/>
        <v>0</v>
      </c>
    </row>
    <row r="218" spans="1:10" x14ac:dyDescent="0.25">
      <c r="A218" s="3">
        <v>41855</v>
      </c>
      <c r="B218" s="13" t="str">
        <f t="shared" si="15"/>
        <v>Sun</v>
      </c>
      <c r="C218" s="7">
        <f t="shared" si="16"/>
        <v>31</v>
      </c>
      <c r="H218" s="14" t="str">
        <f t="shared" si="17"/>
        <v>0:00</v>
      </c>
      <c r="I218" s="14">
        <f t="shared" si="18"/>
        <v>0</v>
      </c>
      <c r="J218" s="8">
        <f t="shared" si="19"/>
        <v>0</v>
      </c>
    </row>
    <row r="219" spans="1:10" x14ac:dyDescent="0.25">
      <c r="A219" s="3">
        <v>41856</v>
      </c>
      <c r="B219" s="13" t="str">
        <f t="shared" si="15"/>
        <v>Mon</v>
      </c>
      <c r="C219" s="7">
        <f t="shared" si="16"/>
        <v>32</v>
      </c>
      <c r="H219" s="14" t="str">
        <f t="shared" si="17"/>
        <v>7:48</v>
      </c>
      <c r="I219" s="14">
        <f t="shared" si="18"/>
        <v>0</v>
      </c>
      <c r="J219" s="8">
        <f t="shared" si="19"/>
        <v>0</v>
      </c>
    </row>
    <row r="220" spans="1:10" x14ac:dyDescent="0.25">
      <c r="A220" s="3">
        <v>41857</v>
      </c>
      <c r="B220" s="13" t="str">
        <f t="shared" si="15"/>
        <v>Tue</v>
      </c>
      <c r="C220" s="7">
        <f t="shared" si="16"/>
        <v>32</v>
      </c>
      <c r="H220" s="14" t="str">
        <f t="shared" si="17"/>
        <v>7:48</v>
      </c>
      <c r="I220" s="14">
        <f t="shared" si="18"/>
        <v>0</v>
      </c>
      <c r="J220" s="8">
        <f t="shared" si="19"/>
        <v>0</v>
      </c>
    </row>
    <row r="221" spans="1:10" x14ac:dyDescent="0.25">
      <c r="A221" s="3">
        <v>41858</v>
      </c>
      <c r="B221" s="13" t="str">
        <f t="shared" si="15"/>
        <v>Wed</v>
      </c>
      <c r="C221" s="7">
        <f t="shared" si="16"/>
        <v>32</v>
      </c>
      <c r="H221" s="14" t="str">
        <f t="shared" si="17"/>
        <v>7:48</v>
      </c>
      <c r="I221" s="14">
        <f t="shared" si="18"/>
        <v>0</v>
      </c>
      <c r="J221" s="8">
        <f t="shared" si="19"/>
        <v>0</v>
      </c>
    </row>
    <row r="222" spans="1:10" x14ac:dyDescent="0.25">
      <c r="A222" s="3">
        <v>41859</v>
      </c>
      <c r="B222" s="13" t="str">
        <f t="shared" si="15"/>
        <v>Thu</v>
      </c>
      <c r="C222" s="7">
        <f t="shared" si="16"/>
        <v>32</v>
      </c>
      <c r="H222" s="14" t="str">
        <f t="shared" si="17"/>
        <v>7:48</v>
      </c>
      <c r="I222" s="14">
        <f t="shared" si="18"/>
        <v>0</v>
      </c>
      <c r="J222" s="8">
        <f t="shared" si="19"/>
        <v>0</v>
      </c>
    </row>
    <row r="223" spans="1:10" x14ac:dyDescent="0.25">
      <c r="A223" s="3">
        <v>41860</v>
      </c>
      <c r="B223" s="13" t="str">
        <f t="shared" si="15"/>
        <v>Fri</v>
      </c>
      <c r="C223" s="7">
        <f t="shared" si="16"/>
        <v>32</v>
      </c>
      <c r="H223" s="14" t="str">
        <f t="shared" si="17"/>
        <v>7:48</v>
      </c>
      <c r="I223" s="14">
        <f t="shared" si="18"/>
        <v>0</v>
      </c>
      <c r="J223" s="8">
        <f t="shared" si="19"/>
        <v>0</v>
      </c>
    </row>
    <row r="224" spans="1:10" x14ac:dyDescent="0.25">
      <c r="A224" s="3">
        <v>41861</v>
      </c>
      <c r="B224" s="13" t="str">
        <f t="shared" si="15"/>
        <v>Sat</v>
      </c>
      <c r="C224" s="7">
        <f t="shared" si="16"/>
        <v>32</v>
      </c>
      <c r="H224" s="14" t="str">
        <f t="shared" si="17"/>
        <v>0:00</v>
      </c>
      <c r="I224" s="14">
        <f t="shared" si="18"/>
        <v>0</v>
      </c>
      <c r="J224" s="8">
        <f t="shared" si="19"/>
        <v>0</v>
      </c>
    </row>
    <row r="225" spans="1:10" x14ac:dyDescent="0.25">
      <c r="A225" s="3">
        <v>41862</v>
      </c>
      <c r="B225" s="13" t="str">
        <f t="shared" si="15"/>
        <v>Sun</v>
      </c>
      <c r="C225" s="7">
        <f t="shared" si="16"/>
        <v>32</v>
      </c>
      <c r="H225" s="14" t="str">
        <f t="shared" si="17"/>
        <v>0:00</v>
      </c>
      <c r="I225" s="14">
        <f t="shared" si="18"/>
        <v>0</v>
      </c>
      <c r="J225" s="8">
        <f t="shared" si="19"/>
        <v>0</v>
      </c>
    </row>
    <row r="226" spans="1:10" x14ac:dyDescent="0.25">
      <c r="A226" s="3">
        <v>41863</v>
      </c>
      <c r="B226" s="13" t="str">
        <f t="shared" si="15"/>
        <v>Mon</v>
      </c>
      <c r="C226" s="7">
        <f t="shared" si="16"/>
        <v>33</v>
      </c>
      <c r="H226" s="14" t="str">
        <f t="shared" si="17"/>
        <v>7:48</v>
      </c>
      <c r="I226" s="14">
        <f t="shared" si="18"/>
        <v>0</v>
      </c>
      <c r="J226" s="8">
        <f t="shared" si="19"/>
        <v>0</v>
      </c>
    </row>
    <row r="227" spans="1:10" x14ac:dyDescent="0.25">
      <c r="A227" s="3">
        <v>41864</v>
      </c>
      <c r="B227" s="13" t="str">
        <f t="shared" si="15"/>
        <v>Tue</v>
      </c>
      <c r="C227" s="7">
        <f t="shared" si="16"/>
        <v>33</v>
      </c>
      <c r="H227" s="14" t="str">
        <f t="shared" si="17"/>
        <v>7:48</v>
      </c>
      <c r="I227" s="14">
        <f t="shared" si="18"/>
        <v>0</v>
      </c>
      <c r="J227" s="8">
        <f t="shared" si="19"/>
        <v>0</v>
      </c>
    </row>
    <row r="228" spans="1:10" x14ac:dyDescent="0.25">
      <c r="A228" s="3">
        <v>41865</v>
      </c>
      <c r="B228" s="13" t="str">
        <f t="shared" si="15"/>
        <v>Wed</v>
      </c>
      <c r="C228" s="7">
        <f t="shared" si="16"/>
        <v>33</v>
      </c>
      <c r="H228" s="14" t="str">
        <f t="shared" si="17"/>
        <v>7:48</v>
      </c>
      <c r="I228" s="14">
        <f t="shared" si="18"/>
        <v>0</v>
      </c>
      <c r="J228" s="8">
        <f t="shared" si="19"/>
        <v>0</v>
      </c>
    </row>
    <row r="229" spans="1:10" x14ac:dyDescent="0.25">
      <c r="A229" s="3">
        <v>41866</v>
      </c>
      <c r="B229" s="13" t="str">
        <f t="shared" si="15"/>
        <v>Thu</v>
      </c>
      <c r="C229" s="7">
        <f t="shared" si="16"/>
        <v>33</v>
      </c>
      <c r="H229" s="14" t="str">
        <f t="shared" si="17"/>
        <v>7:48</v>
      </c>
      <c r="I229" s="14">
        <f t="shared" si="18"/>
        <v>0</v>
      </c>
      <c r="J229" s="8">
        <f t="shared" si="19"/>
        <v>0</v>
      </c>
    </row>
    <row r="230" spans="1:10" x14ac:dyDescent="0.25">
      <c r="A230" s="3">
        <v>41867</v>
      </c>
      <c r="B230" s="13" t="str">
        <f t="shared" si="15"/>
        <v>Fri</v>
      </c>
      <c r="C230" s="7">
        <f t="shared" si="16"/>
        <v>33</v>
      </c>
      <c r="H230" s="14" t="str">
        <f t="shared" si="17"/>
        <v>7:48</v>
      </c>
      <c r="I230" s="14">
        <f t="shared" si="18"/>
        <v>0</v>
      </c>
      <c r="J230" s="8">
        <f t="shared" si="19"/>
        <v>0</v>
      </c>
    </row>
    <row r="231" spans="1:10" x14ac:dyDescent="0.25">
      <c r="A231" s="3">
        <v>41868</v>
      </c>
      <c r="B231" s="13" t="str">
        <f t="shared" si="15"/>
        <v>Sat</v>
      </c>
      <c r="C231" s="7">
        <f t="shared" si="16"/>
        <v>33</v>
      </c>
      <c r="H231" s="14" t="str">
        <f t="shared" si="17"/>
        <v>0:00</v>
      </c>
      <c r="I231" s="14">
        <f t="shared" si="18"/>
        <v>0</v>
      </c>
      <c r="J231" s="8">
        <f t="shared" si="19"/>
        <v>0</v>
      </c>
    </row>
    <row r="232" spans="1:10" x14ac:dyDescent="0.25">
      <c r="A232" s="3">
        <v>41869</v>
      </c>
      <c r="B232" s="13" t="str">
        <f t="shared" si="15"/>
        <v>Sun</v>
      </c>
      <c r="C232" s="7">
        <f t="shared" si="16"/>
        <v>33</v>
      </c>
      <c r="H232" s="14" t="str">
        <f t="shared" si="17"/>
        <v>0:00</v>
      </c>
      <c r="I232" s="14">
        <f t="shared" si="18"/>
        <v>0</v>
      </c>
      <c r="J232" s="8">
        <f t="shared" si="19"/>
        <v>0</v>
      </c>
    </row>
    <row r="233" spans="1:10" x14ac:dyDescent="0.25">
      <c r="A233" s="3">
        <v>41870</v>
      </c>
      <c r="B233" s="13" t="str">
        <f t="shared" si="15"/>
        <v>Mon</v>
      </c>
      <c r="C233" s="7">
        <f t="shared" si="16"/>
        <v>34</v>
      </c>
      <c r="H233" s="14" t="str">
        <f t="shared" si="17"/>
        <v>7:48</v>
      </c>
      <c r="I233" s="14">
        <f t="shared" si="18"/>
        <v>0</v>
      </c>
      <c r="J233" s="8">
        <f t="shared" si="19"/>
        <v>0</v>
      </c>
    </row>
    <row r="234" spans="1:10" x14ac:dyDescent="0.25">
      <c r="A234" s="3">
        <v>41871</v>
      </c>
      <c r="B234" s="13" t="str">
        <f t="shared" si="15"/>
        <v>Tue</v>
      </c>
      <c r="C234" s="7">
        <f t="shared" si="16"/>
        <v>34</v>
      </c>
      <c r="H234" s="14" t="str">
        <f t="shared" si="17"/>
        <v>7:48</v>
      </c>
      <c r="I234" s="14">
        <f t="shared" si="18"/>
        <v>0</v>
      </c>
      <c r="J234" s="8">
        <f t="shared" si="19"/>
        <v>0</v>
      </c>
    </row>
    <row r="235" spans="1:10" x14ac:dyDescent="0.25">
      <c r="A235" s="3">
        <v>41872</v>
      </c>
      <c r="B235" s="13" t="str">
        <f t="shared" si="15"/>
        <v>Wed</v>
      </c>
      <c r="C235" s="7">
        <f t="shared" si="16"/>
        <v>34</v>
      </c>
      <c r="H235" s="14" t="str">
        <f t="shared" si="17"/>
        <v>7:48</v>
      </c>
      <c r="I235" s="14">
        <f t="shared" si="18"/>
        <v>0</v>
      </c>
      <c r="J235" s="8">
        <f t="shared" si="19"/>
        <v>0</v>
      </c>
    </row>
    <row r="236" spans="1:10" x14ac:dyDescent="0.25">
      <c r="A236" s="3">
        <v>41873</v>
      </c>
      <c r="B236" s="13" t="str">
        <f t="shared" si="15"/>
        <v>Thu</v>
      </c>
      <c r="C236" s="7">
        <f t="shared" si="16"/>
        <v>34</v>
      </c>
      <c r="H236" s="14" t="str">
        <f t="shared" si="17"/>
        <v>7:48</v>
      </c>
      <c r="I236" s="14">
        <f t="shared" si="18"/>
        <v>0</v>
      </c>
      <c r="J236" s="8">
        <f t="shared" si="19"/>
        <v>0</v>
      </c>
    </row>
    <row r="237" spans="1:10" x14ac:dyDescent="0.25">
      <c r="A237" s="3">
        <v>41874</v>
      </c>
      <c r="B237" s="13" t="str">
        <f t="shared" si="15"/>
        <v>Fri</v>
      </c>
      <c r="C237" s="7">
        <f t="shared" si="16"/>
        <v>34</v>
      </c>
      <c r="H237" s="14" t="str">
        <f t="shared" si="17"/>
        <v>7:48</v>
      </c>
      <c r="I237" s="14">
        <f t="shared" si="18"/>
        <v>0</v>
      </c>
      <c r="J237" s="8">
        <f t="shared" si="19"/>
        <v>0</v>
      </c>
    </row>
    <row r="238" spans="1:10" x14ac:dyDescent="0.25">
      <c r="A238" s="3">
        <v>41875</v>
      </c>
      <c r="B238" s="13" t="str">
        <f t="shared" si="15"/>
        <v>Sat</v>
      </c>
      <c r="C238" s="7">
        <f t="shared" si="16"/>
        <v>34</v>
      </c>
      <c r="H238" s="14" t="str">
        <f t="shared" si="17"/>
        <v>0:00</v>
      </c>
      <c r="I238" s="14">
        <f t="shared" si="18"/>
        <v>0</v>
      </c>
      <c r="J238" s="8">
        <f t="shared" si="19"/>
        <v>0</v>
      </c>
    </row>
    <row r="239" spans="1:10" x14ac:dyDescent="0.25">
      <c r="A239" s="3">
        <v>41876</v>
      </c>
      <c r="B239" s="13" t="str">
        <f t="shared" si="15"/>
        <v>Sun</v>
      </c>
      <c r="C239" s="7">
        <f t="shared" si="16"/>
        <v>34</v>
      </c>
      <c r="H239" s="14" t="str">
        <f t="shared" si="17"/>
        <v>0:00</v>
      </c>
      <c r="I239" s="14">
        <f t="shared" si="18"/>
        <v>0</v>
      </c>
      <c r="J239" s="8">
        <f t="shared" si="19"/>
        <v>0</v>
      </c>
    </row>
    <row r="240" spans="1:10" x14ac:dyDescent="0.25">
      <c r="A240" s="3">
        <v>41877</v>
      </c>
      <c r="B240" s="13" t="str">
        <f t="shared" si="15"/>
        <v>Mon</v>
      </c>
      <c r="C240" s="7">
        <f t="shared" si="16"/>
        <v>35</v>
      </c>
      <c r="H240" s="14" t="str">
        <f t="shared" si="17"/>
        <v>7:48</v>
      </c>
      <c r="I240" s="14">
        <f t="shared" si="18"/>
        <v>0</v>
      </c>
      <c r="J240" s="8">
        <f t="shared" si="19"/>
        <v>0</v>
      </c>
    </row>
    <row r="241" spans="1:10" x14ac:dyDescent="0.25">
      <c r="A241" s="3">
        <v>41878</v>
      </c>
      <c r="B241" s="13" t="str">
        <f t="shared" si="15"/>
        <v>Tue</v>
      </c>
      <c r="C241" s="7">
        <f t="shared" si="16"/>
        <v>35</v>
      </c>
      <c r="H241" s="14" t="str">
        <f t="shared" si="17"/>
        <v>7:48</v>
      </c>
      <c r="I241" s="14">
        <f t="shared" si="18"/>
        <v>0</v>
      </c>
      <c r="J241" s="8">
        <f t="shared" si="19"/>
        <v>0</v>
      </c>
    </row>
    <row r="242" spans="1:10" x14ac:dyDescent="0.25">
      <c r="A242" s="3">
        <v>41879</v>
      </c>
      <c r="B242" s="13" t="str">
        <f t="shared" si="15"/>
        <v>Wed</v>
      </c>
      <c r="C242" s="7">
        <f t="shared" si="16"/>
        <v>35</v>
      </c>
      <c r="H242" s="14" t="str">
        <f t="shared" si="17"/>
        <v>7:48</v>
      </c>
      <c r="I242" s="14">
        <f t="shared" si="18"/>
        <v>0</v>
      </c>
      <c r="J242" s="8">
        <f t="shared" si="19"/>
        <v>0</v>
      </c>
    </row>
    <row r="243" spans="1:10" x14ac:dyDescent="0.25">
      <c r="A243" s="3">
        <v>41880</v>
      </c>
      <c r="B243" s="13" t="str">
        <f t="shared" si="15"/>
        <v>Thu</v>
      </c>
      <c r="C243" s="7">
        <f t="shared" si="16"/>
        <v>35</v>
      </c>
      <c r="H243" s="14" t="str">
        <f t="shared" si="17"/>
        <v>7:48</v>
      </c>
      <c r="I243" s="14">
        <f t="shared" si="18"/>
        <v>0</v>
      </c>
      <c r="J243" s="8">
        <f t="shared" si="19"/>
        <v>0</v>
      </c>
    </row>
    <row r="244" spans="1:10" x14ac:dyDescent="0.25">
      <c r="A244" s="3">
        <v>41881</v>
      </c>
      <c r="B244" s="13" t="str">
        <f t="shared" si="15"/>
        <v>Fri</v>
      </c>
      <c r="C244" s="7">
        <f t="shared" si="16"/>
        <v>35</v>
      </c>
      <c r="H244" s="14" t="str">
        <f t="shared" si="17"/>
        <v>7:48</v>
      </c>
      <c r="I244" s="14">
        <f t="shared" si="18"/>
        <v>0</v>
      </c>
      <c r="J244" s="8">
        <f t="shared" si="19"/>
        <v>0</v>
      </c>
    </row>
    <row r="245" spans="1:10" x14ac:dyDescent="0.25">
      <c r="A245" s="3">
        <v>41882</v>
      </c>
      <c r="B245" s="13" t="str">
        <f t="shared" si="15"/>
        <v>Sat</v>
      </c>
      <c r="C245" s="7">
        <f t="shared" si="16"/>
        <v>35</v>
      </c>
      <c r="H245" s="14" t="str">
        <f t="shared" si="17"/>
        <v>0:00</v>
      </c>
      <c r="I245" s="14">
        <f t="shared" si="18"/>
        <v>0</v>
      </c>
      <c r="J245" s="8">
        <f t="shared" si="19"/>
        <v>0</v>
      </c>
    </row>
    <row r="246" spans="1:10" x14ac:dyDescent="0.25">
      <c r="A246" s="3">
        <v>41883</v>
      </c>
      <c r="B246" s="13" t="str">
        <f t="shared" si="15"/>
        <v>Sun</v>
      </c>
      <c r="C246" s="7">
        <f t="shared" si="16"/>
        <v>35</v>
      </c>
      <c r="H246" s="14" t="str">
        <f t="shared" si="17"/>
        <v>0:00</v>
      </c>
      <c r="I246" s="14">
        <f t="shared" si="18"/>
        <v>0</v>
      </c>
      <c r="J246" s="8">
        <f t="shared" si="19"/>
        <v>0</v>
      </c>
    </row>
    <row r="247" spans="1:10" x14ac:dyDescent="0.25">
      <c r="A247" s="3">
        <v>41884</v>
      </c>
      <c r="B247" s="13" t="str">
        <f t="shared" si="15"/>
        <v>Mon</v>
      </c>
      <c r="C247" s="7">
        <f t="shared" si="16"/>
        <v>36</v>
      </c>
      <c r="H247" s="14" t="str">
        <f t="shared" si="17"/>
        <v>7:48</v>
      </c>
      <c r="I247" s="14">
        <f t="shared" si="18"/>
        <v>0</v>
      </c>
      <c r="J247" s="8">
        <f t="shared" si="19"/>
        <v>0</v>
      </c>
    </row>
    <row r="248" spans="1:10" x14ac:dyDescent="0.25">
      <c r="A248" s="3">
        <v>41885</v>
      </c>
      <c r="B248" s="13" t="str">
        <f t="shared" si="15"/>
        <v>Tue</v>
      </c>
      <c r="C248" s="7">
        <f t="shared" si="16"/>
        <v>36</v>
      </c>
      <c r="H248" s="14" t="str">
        <f t="shared" si="17"/>
        <v>7:48</v>
      </c>
      <c r="I248" s="14">
        <f t="shared" si="18"/>
        <v>0</v>
      </c>
      <c r="J248" s="8">
        <f t="shared" si="19"/>
        <v>0</v>
      </c>
    </row>
    <row r="249" spans="1:10" x14ac:dyDescent="0.25">
      <c r="A249" s="3">
        <v>41886</v>
      </c>
      <c r="B249" s="13" t="str">
        <f t="shared" si="15"/>
        <v>Wed</v>
      </c>
      <c r="C249" s="7">
        <f t="shared" si="16"/>
        <v>36</v>
      </c>
      <c r="H249" s="14" t="str">
        <f t="shared" si="17"/>
        <v>7:48</v>
      </c>
      <c r="I249" s="14">
        <f t="shared" si="18"/>
        <v>0</v>
      </c>
      <c r="J249" s="8">
        <f t="shared" si="19"/>
        <v>0</v>
      </c>
    </row>
    <row r="250" spans="1:10" x14ac:dyDescent="0.25">
      <c r="A250" s="3">
        <v>41887</v>
      </c>
      <c r="B250" s="13" t="str">
        <f t="shared" si="15"/>
        <v>Thu</v>
      </c>
      <c r="C250" s="7">
        <f t="shared" si="16"/>
        <v>36</v>
      </c>
      <c r="H250" s="14" t="str">
        <f t="shared" si="17"/>
        <v>7:48</v>
      </c>
      <c r="I250" s="14">
        <f t="shared" si="18"/>
        <v>0</v>
      </c>
      <c r="J250" s="8">
        <f t="shared" si="19"/>
        <v>0</v>
      </c>
    </row>
    <row r="251" spans="1:10" x14ac:dyDescent="0.25">
      <c r="A251" s="3">
        <v>41888</v>
      </c>
      <c r="B251" s="13" t="str">
        <f t="shared" si="15"/>
        <v>Fri</v>
      </c>
      <c r="C251" s="7">
        <f t="shared" si="16"/>
        <v>36</v>
      </c>
      <c r="H251" s="14" t="str">
        <f t="shared" si="17"/>
        <v>7:48</v>
      </c>
      <c r="I251" s="14">
        <f t="shared" si="18"/>
        <v>0</v>
      </c>
      <c r="J251" s="8">
        <f t="shared" si="19"/>
        <v>0</v>
      </c>
    </row>
    <row r="252" spans="1:10" x14ac:dyDescent="0.25">
      <c r="A252" s="3">
        <v>41889</v>
      </c>
      <c r="B252" s="13" t="str">
        <f t="shared" si="15"/>
        <v>Sat</v>
      </c>
      <c r="C252" s="7">
        <f t="shared" si="16"/>
        <v>36</v>
      </c>
      <c r="H252" s="14" t="str">
        <f t="shared" si="17"/>
        <v>0:00</v>
      </c>
      <c r="I252" s="14">
        <f t="shared" si="18"/>
        <v>0</v>
      </c>
      <c r="J252" s="8">
        <f t="shared" si="19"/>
        <v>0</v>
      </c>
    </row>
    <row r="253" spans="1:10" x14ac:dyDescent="0.25">
      <c r="A253" s="3">
        <v>41890</v>
      </c>
      <c r="B253" s="13" t="str">
        <f t="shared" si="15"/>
        <v>Sun</v>
      </c>
      <c r="C253" s="7">
        <f t="shared" si="16"/>
        <v>36</v>
      </c>
      <c r="H253" s="14" t="str">
        <f t="shared" si="17"/>
        <v>0:00</v>
      </c>
      <c r="I253" s="14">
        <f t="shared" si="18"/>
        <v>0</v>
      </c>
      <c r="J253" s="8">
        <f t="shared" si="19"/>
        <v>0</v>
      </c>
    </row>
    <row r="254" spans="1:10" x14ac:dyDescent="0.25">
      <c r="A254" s="3">
        <v>41891</v>
      </c>
      <c r="B254" s="13" t="str">
        <f t="shared" si="15"/>
        <v>Mon</v>
      </c>
      <c r="C254" s="7">
        <f t="shared" si="16"/>
        <v>37</v>
      </c>
      <c r="D254" s="10"/>
      <c r="H254" s="14" t="str">
        <f t="shared" si="17"/>
        <v>7:48</v>
      </c>
      <c r="I254" s="14">
        <f t="shared" si="18"/>
        <v>0</v>
      </c>
      <c r="J254" s="8">
        <f t="shared" si="19"/>
        <v>0</v>
      </c>
    </row>
    <row r="255" spans="1:10" x14ac:dyDescent="0.25">
      <c r="A255" s="3">
        <v>41892</v>
      </c>
      <c r="B255" s="13" t="str">
        <f t="shared" si="15"/>
        <v>Tue</v>
      </c>
      <c r="C255" s="7">
        <f t="shared" si="16"/>
        <v>37</v>
      </c>
      <c r="D255" s="10"/>
      <c r="H255" s="14" t="str">
        <f t="shared" si="17"/>
        <v>7:48</v>
      </c>
      <c r="I255" s="14">
        <f t="shared" si="18"/>
        <v>0</v>
      </c>
      <c r="J255" s="8">
        <f t="shared" si="19"/>
        <v>0</v>
      </c>
    </row>
    <row r="256" spans="1:10" x14ac:dyDescent="0.25">
      <c r="A256" s="3">
        <v>41893</v>
      </c>
      <c r="B256" s="13" t="str">
        <f t="shared" si="15"/>
        <v>Wed</v>
      </c>
      <c r="C256" s="7">
        <f t="shared" si="16"/>
        <v>37</v>
      </c>
      <c r="D256" s="10"/>
      <c r="H256" s="14" t="str">
        <f t="shared" si="17"/>
        <v>7:48</v>
      </c>
      <c r="I256" s="14">
        <f t="shared" si="18"/>
        <v>0</v>
      </c>
      <c r="J256" s="8">
        <f t="shared" si="19"/>
        <v>0</v>
      </c>
    </row>
    <row r="257" spans="1:13" x14ac:dyDescent="0.25">
      <c r="A257" s="3">
        <v>41894</v>
      </c>
      <c r="B257" s="13" t="str">
        <f t="shared" si="15"/>
        <v>Thu</v>
      </c>
      <c r="C257" s="7">
        <f t="shared" si="16"/>
        <v>37</v>
      </c>
      <c r="D257" s="10"/>
      <c r="H257" s="14" t="str">
        <f t="shared" si="17"/>
        <v>7:48</v>
      </c>
      <c r="I257" s="14">
        <f t="shared" si="18"/>
        <v>0</v>
      </c>
      <c r="J257" s="8">
        <f t="shared" si="19"/>
        <v>0</v>
      </c>
    </row>
    <row r="258" spans="1:13" x14ac:dyDescent="0.25">
      <c r="A258" s="3">
        <v>41895</v>
      </c>
      <c r="B258" s="13" t="str">
        <f t="shared" ref="B258:B267" si="20">CHOOSE(WEEKDAY($A258,2),"Mon","Tue","Wed","Thu","Fri","Sat","Sun")</f>
        <v>Fri</v>
      </c>
      <c r="C258" s="7">
        <f t="shared" ref="C258:C267" si="21">_xlfn.ISOWEEKNUM($A258)</f>
        <v>37</v>
      </c>
      <c r="D258" s="10"/>
      <c r="H258" s="14" t="str">
        <f t="shared" ref="H258:H267" si="22">IF(WEEKDAY($A258,2)&lt;=5,"7:48","0:00")</f>
        <v>7:48</v>
      </c>
      <c r="I258" s="14">
        <f t="shared" ref="I258:I321" si="23">IF(COUNTIF(nonprod_types, $D258)&gt;0, "7:48", ($F258-$E258)-$G258)</f>
        <v>0</v>
      </c>
      <c r="J258" s="8">
        <f t="shared" ref="J258" si="24">IF(D258="",0,$I258-$H258)</f>
        <v>0</v>
      </c>
      <c r="L258" s="6"/>
      <c r="M258" s="6"/>
    </row>
    <row r="259" spans="1:13" x14ac:dyDescent="0.25">
      <c r="A259" s="3">
        <v>41896</v>
      </c>
      <c r="B259" s="13" t="str">
        <f t="shared" si="20"/>
        <v>Sat</v>
      </c>
      <c r="C259" s="7">
        <f t="shared" si="21"/>
        <v>37</v>
      </c>
      <c r="H259" s="14" t="str">
        <f t="shared" si="22"/>
        <v>0:00</v>
      </c>
      <c r="I259" s="14">
        <f t="shared" si="23"/>
        <v>0</v>
      </c>
      <c r="J259" s="8">
        <f>IF(D259="",0,$I259-$H259)</f>
        <v>0</v>
      </c>
    </row>
    <row r="260" spans="1:13" x14ac:dyDescent="0.25">
      <c r="A260" s="3">
        <v>41897</v>
      </c>
      <c r="B260" s="13" t="str">
        <f t="shared" si="20"/>
        <v>Sun</v>
      </c>
      <c r="C260" s="7">
        <f t="shared" si="21"/>
        <v>37</v>
      </c>
      <c r="H260" s="14" t="str">
        <f t="shared" si="22"/>
        <v>0:00</v>
      </c>
      <c r="I260" s="14">
        <f t="shared" si="23"/>
        <v>0</v>
      </c>
      <c r="J260" s="8">
        <f t="shared" ref="J260:J323" si="25">IF(D260="",0,$I260-$H260)</f>
        <v>0</v>
      </c>
    </row>
    <row r="261" spans="1:13" x14ac:dyDescent="0.25">
      <c r="A261" s="3">
        <v>41898</v>
      </c>
      <c r="B261" s="13" t="str">
        <f t="shared" si="20"/>
        <v>Mon</v>
      </c>
      <c r="C261" s="7">
        <f t="shared" si="21"/>
        <v>38</v>
      </c>
      <c r="D261" s="10"/>
      <c r="H261" s="14" t="str">
        <f t="shared" si="22"/>
        <v>7:48</v>
      </c>
      <c r="I261" s="14">
        <f t="shared" si="23"/>
        <v>0</v>
      </c>
      <c r="J261" s="8">
        <f t="shared" si="25"/>
        <v>0</v>
      </c>
    </row>
    <row r="262" spans="1:13" x14ac:dyDescent="0.25">
      <c r="A262" s="3">
        <v>41899</v>
      </c>
      <c r="B262" s="13" t="str">
        <f t="shared" si="20"/>
        <v>Tue</v>
      </c>
      <c r="C262" s="7">
        <f t="shared" si="21"/>
        <v>38</v>
      </c>
      <c r="D262" s="10"/>
      <c r="H262" s="14" t="str">
        <f t="shared" si="22"/>
        <v>7:48</v>
      </c>
      <c r="I262" s="14">
        <f t="shared" si="23"/>
        <v>0</v>
      </c>
      <c r="J262" s="8">
        <f t="shared" si="25"/>
        <v>0</v>
      </c>
      <c r="K262" s="7"/>
    </row>
    <row r="263" spans="1:13" x14ac:dyDescent="0.25">
      <c r="A263" s="3">
        <v>41900</v>
      </c>
      <c r="B263" s="13" t="str">
        <f t="shared" si="20"/>
        <v>Wed</v>
      </c>
      <c r="C263" s="7">
        <f t="shared" si="21"/>
        <v>38</v>
      </c>
      <c r="D263" s="10"/>
      <c r="H263" s="14" t="str">
        <f t="shared" si="22"/>
        <v>7:48</v>
      </c>
      <c r="I263" s="14">
        <f t="shared" si="23"/>
        <v>0</v>
      </c>
      <c r="J263" s="8">
        <f t="shared" si="25"/>
        <v>0</v>
      </c>
    </row>
    <row r="264" spans="1:13" x14ac:dyDescent="0.25">
      <c r="A264" s="3">
        <v>41901</v>
      </c>
      <c r="B264" s="13" t="str">
        <f t="shared" si="20"/>
        <v>Thu</v>
      </c>
      <c r="C264" s="7">
        <f t="shared" si="21"/>
        <v>38</v>
      </c>
      <c r="D264" s="10"/>
      <c r="H264" s="14" t="str">
        <f t="shared" si="22"/>
        <v>7:48</v>
      </c>
      <c r="I264" s="14">
        <f t="shared" si="23"/>
        <v>0</v>
      </c>
      <c r="J264" s="8">
        <f t="shared" si="25"/>
        <v>0</v>
      </c>
    </row>
    <row r="265" spans="1:13" x14ac:dyDescent="0.25">
      <c r="A265" s="3">
        <v>41902</v>
      </c>
      <c r="B265" s="13" t="str">
        <f t="shared" si="20"/>
        <v>Fri</v>
      </c>
      <c r="C265" s="7">
        <f t="shared" si="21"/>
        <v>38</v>
      </c>
      <c r="H265" s="14" t="str">
        <f t="shared" si="22"/>
        <v>7:48</v>
      </c>
      <c r="I265" s="14">
        <f t="shared" si="23"/>
        <v>0</v>
      </c>
      <c r="J265" s="8">
        <f t="shared" si="25"/>
        <v>0</v>
      </c>
    </row>
    <row r="266" spans="1:13" x14ac:dyDescent="0.25">
      <c r="A266" s="3">
        <v>41903</v>
      </c>
      <c r="B266" s="13" t="str">
        <f t="shared" si="20"/>
        <v>Sat</v>
      </c>
      <c r="C266" s="7">
        <f t="shared" si="21"/>
        <v>38</v>
      </c>
      <c r="H266" s="14" t="str">
        <f t="shared" si="22"/>
        <v>0:00</v>
      </c>
      <c r="I266" s="14">
        <f t="shared" si="23"/>
        <v>0</v>
      </c>
      <c r="J266" s="8">
        <f t="shared" si="25"/>
        <v>0</v>
      </c>
    </row>
    <row r="267" spans="1:13" x14ac:dyDescent="0.25">
      <c r="A267" s="3">
        <v>41904</v>
      </c>
      <c r="B267" s="13" t="str">
        <f t="shared" si="20"/>
        <v>Sun</v>
      </c>
      <c r="C267" s="7">
        <f t="shared" si="21"/>
        <v>38</v>
      </c>
      <c r="H267" s="14" t="str">
        <f t="shared" si="22"/>
        <v>0:00</v>
      </c>
      <c r="I267" s="14">
        <f t="shared" si="23"/>
        <v>0</v>
      </c>
      <c r="J267" s="8">
        <f t="shared" si="25"/>
        <v>0</v>
      </c>
    </row>
    <row r="268" spans="1:13" x14ac:dyDescent="0.25">
      <c r="A268" s="3">
        <v>41905</v>
      </c>
      <c r="B268" s="13" t="str">
        <f>CHOOSE(WEEKDAY($A268,2),"Mon","Tue","Wed","Thu","Fri","Sat","Sun")</f>
        <v>Mon</v>
      </c>
      <c r="C268" s="7">
        <f t="shared" ref="C268:C332" si="26">_xlfn.ISOWEEKNUM($A268)</f>
        <v>39</v>
      </c>
      <c r="H268" s="14" t="str">
        <f>IF(WEEKDAY($A268,2)&lt;=5,"7:48","0:00")</f>
        <v>7:48</v>
      </c>
      <c r="I268" s="14">
        <f t="shared" si="23"/>
        <v>0</v>
      </c>
      <c r="J268" s="8">
        <f t="shared" si="25"/>
        <v>0</v>
      </c>
      <c r="K268" s="7"/>
    </row>
    <row r="269" spans="1:13" x14ac:dyDescent="0.25">
      <c r="A269" s="3">
        <v>41906</v>
      </c>
      <c r="B269" s="13" t="str">
        <f t="shared" ref="B269:B332" si="27">CHOOSE(WEEKDAY($A269,2),"Mon","Tue","Wed","Thu","Fri","Sat","Sun")</f>
        <v>Tue</v>
      </c>
      <c r="C269" s="7">
        <f t="shared" si="26"/>
        <v>39</v>
      </c>
      <c r="H269" s="14" t="str">
        <f t="shared" ref="H269:H332" si="28">IF(WEEKDAY($A269,2)&lt;=5,"7:48","0:00")</f>
        <v>7:48</v>
      </c>
      <c r="I269" s="14">
        <f t="shared" si="23"/>
        <v>0</v>
      </c>
      <c r="J269" s="8">
        <f t="shared" si="25"/>
        <v>0</v>
      </c>
    </row>
    <row r="270" spans="1:13" x14ac:dyDescent="0.25">
      <c r="A270" s="3">
        <v>41907</v>
      </c>
      <c r="B270" s="13" t="str">
        <f t="shared" si="27"/>
        <v>Wed</v>
      </c>
      <c r="C270" s="7">
        <f t="shared" si="26"/>
        <v>39</v>
      </c>
      <c r="H270" s="14" t="str">
        <f t="shared" si="28"/>
        <v>7:48</v>
      </c>
      <c r="I270" s="14">
        <f t="shared" si="23"/>
        <v>0</v>
      </c>
      <c r="J270" s="8">
        <f t="shared" si="25"/>
        <v>0</v>
      </c>
    </row>
    <row r="271" spans="1:13" x14ac:dyDescent="0.25">
      <c r="A271" s="3">
        <v>41908</v>
      </c>
      <c r="B271" s="13" t="str">
        <f t="shared" si="27"/>
        <v>Thu</v>
      </c>
      <c r="C271" s="7">
        <f t="shared" si="26"/>
        <v>39</v>
      </c>
      <c r="H271" s="14" t="str">
        <f t="shared" si="28"/>
        <v>7:48</v>
      </c>
      <c r="I271" s="14">
        <f t="shared" si="23"/>
        <v>0</v>
      </c>
      <c r="J271" s="8">
        <f t="shared" si="25"/>
        <v>0</v>
      </c>
      <c r="K271" s="7"/>
    </row>
    <row r="272" spans="1:13" x14ac:dyDescent="0.25">
      <c r="A272" s="3">
        <v>41909</v>
      </c>
      <c r="B272" s="13" t="str">
        <f t="shared" si="27"/>
        <v>Fri</v>
      </c>
      <c r="C272" s="7">
        <f t="shared" si="26"/>
        <v>39</v>
      </c>
      <c r="H272" s="14" t="str">
        <f t="shared" si="28"/>
        <v>7:48</v>
      </c>
      <c r="I272" s="14">
        <f t="shared" si="23"/>
        <v>0</v>
      </c>
      <c r="J272" s="8">
        <f t="shared" si="25"/>
        <v>0</v>
      </c>
    </row>
    <row r="273" spans="1:10" x14ac:dyDescent="0.25">
      <c r="A273" s="3">
        <v>41910</v>
      </c>
      <c r="B273" s="13" t="str">
        <f t="shared" si="27"/>
        <v>Sat</v>
      </c>
      <c r="C273" s="7">
        <f t="shared" si="26"/>
        <v>39</v>
      </c>
      <c r="H273" s="14" t="str">
        <f t="shared" si="28"/>
        <v>0:00</v>
      </c>
      <c r="I273" s="14">
        <f t="shared" si="23"/>
        <v>0</v>
      </c>
      <c r="J273" s="8">
        <f t="shared" si="25"/>
        <v>0</v>
      </c>
    </row>
    <row r="274" spans="1:10" x14ac:dyDescent="0.25">
      <c r="A274" s="3">
        <v>41911</v>
      </c>
      <c r="B274" s="13" t="str">
        <f t="shared" si="27"/>
        <v>Sun</v>
      </c>
      <c r="C274" s="7">
        <f t="shared" si="26"/>
        <v>39</v>
      </c>
      <c r="H274" s="14" t="str">
        <f t="shared" si="28"/>
        <v>0:00</v>
      </c>
      <c r="I274" s="14">
        <f t="shared" si="23"/>
        <v>0</v>
      </c>
      <c r="J274" s="8">
        <f t="shared" si="25"/>
        <v>0</v>
      </c>
    </row>
    <row r="275" spans="1:10" x14ac:dyDescent="0.25">
      <c r="A275" s="3">
        <v>41912</v>
      </c>
      <c r="B275" s="13" t="str">
        <f t="shared" si="27"/>
        <v>Mon</v>
      </c>
      <c r="C275" s="7">
        <f t="shared" si="26"/>
        <v>40</v>
      </c>
      <c r="H275" s="14" t="str">
        <f t="shared" si="28"/>
        <v>7:48</v>
      </c>
      <c r="I275" s="14">
        <f t="shared" si="23"/>
        <v>0</v>
      </c>
      <c r="J275" s="8">
        <f t="shared" si="25"/>
        <v>0</v>
      </c>
    </row>
    <row r="276" spans="1:10" x14ac:dyDescent="0.25">
      <c r="A276" s="3">
        <v>41913</v>
      </c>
      <c r="B276" s="13" t="str">
        <f t="shared" si="27"/>
        <v>Tue</v>
      </c>
      <c r="C276" s="7">
        <f t="shared" si="26"/>
        <v>40</v>
      </c>
      <c r="H276" s="14" t="str">
        <f t="shared" si="28"/>
        <v>7:48</v>
      </c>
      <c r="I276" s="14">
        <f t="shared" si="23"/>
        <v>0</v>
      </c>
      <c r="J276" s="8">
        <f t="shared" si="25"/>
        <v>0</v>
      </c>
    </row>
    <row r="277" spans="1:10" x14ac:dyDescent="0.25">
      <c r="A277" s="3">
        <v>41914</v>
      </c>
      <c r="B277" s="13" t="str">
        <f t="shared" si="27"/>
        <v>Wed</v>
      </c>
      <c r="C277" s="7">
        <f t="shared" si="26"/>
        <v>40</v>
      </c>
      <c r="H277" s="14" t="str">
        <f t="shared" si="28"/>
        <v>7:48</v>
      </c>
      <c r="I277" s="14">
        <f t="shared" si="23"/>
        <v>0</v>
      </c>
      <c r="J277" s="8">
        <f t="shared" si="25"/>
        <v>0</v>
      </c>
    </row>
    <row r="278" spans="1:10" x14ac:dyDescent="0.25">
      <c r="A278" s="3">
        <v>41915</v>
      </c>
      <c r="B278" s="13" t="str">
        <f t="shared" si="27"/>
        <v>Thu</v>
      </c>
      <c r="C278" s="7">
        <f t="shared" si="26"/>
        <v>40</v>
      </c>
      <c r="H278" s="14" t="str">
        <f t="shared" si="28"/>
        <v>7:48</v>
      </c>
      <c r="I278" s="14">
        <f t="shared" si="23"/>
        <v>0</v>
      </c>
      <c r="J278" s="8">
        <f t="shared" si="25"/>
        <v>0</v>
      </c>
    </row>
    <row r="279" spans="1:10" x14ac:dyDescent="0.25">
      <c r="A279" s="3">
        <v>41916</v>
      </c>
      <c r="B279" s="13" t="str">
        <f t="shared" si="27"/>
        <v>Fri</v>
      </c>
      <c r="C279" s="7">
        <f t="shared" si="26"/>
        <v>40</v>
      </c>
      <c r="H279" s="14" t="str">
        <f t="shared" si="28"/>
        <v>7:48</v>
      </c>
      <c r="I279" s="14">
        <f t="shared" si="23"/>
        <v>0</v>
      </c>
      <c r="J279" s="8">
        <f t="shared" si="25"/>
        <v>0</v>
      </c>
    </row>
    <row r="280" spans="1:10" x14ac:dyDescent="0.25">
      <c r="A280" s="3">
        <v>41917</v>
      </c>
      <c r="B280" s="13" t="str">
        <f t="shared" si="27"/>
        <v>Sat</v>
      </c>
      <c r="C280" s="7">
        <f t="shared" si="26"/>
        <v>40</v>
      </c>
      <c r="H280" s="14" t="str">
        <f t="shared" si="28"/>
        <v>0:00</v>
      </c>
      <c r="I280" s="14">
        <f t="shared" si="23"/>
        <v>0</v>
      </c>
      <c r="J280" s="8">
        <f t="shared" si="25"/>
        <v>0</v>
      </c>
    </row>
    <row r="281" spans="1:10" x14ac:dyDescent="0.25">
      <c r="A281" s="3">
        <v>41918</v>
      </c>
      <c r="B281" s="13" t="str">
        <f t="shared" si="27"/>
        <v>Sun</v>
      </c>
      <c r="C281" s="7">
        <f t="shared" si="26"/>
        <v>40</v>
      </c>
      <c r="H281" s="14" t="str">
        <f t="shared" si="28"/>
        <v>0:00</v>
      </c>
      <c r="I281" s="14">
        <f t="shared" si="23"/>
        <v>0</v>
      </c>
      <c r="J281" s="8">
        <f t="shared" si="25"/>
        <v>0</v>
      </c>
    </row>
    <row r="282" spans="1:10" x14ac:dyDescent="0.25">
      <c r="A282" s="3">
        <v>41919</v>
      </c>
      <c r="B282" s="13" t="str">
        <f t="shared" si="27"/>
        <v>Mon</v>
      </c>
      <c r="C282" s="7">
        <f t="shared" si="26"/>
        <v>41</v>
      </c>
      <c r="H282" s="14" t="str">
        <f t="shared" si="28"/>
        <v>7:48</v>
      </c>
      <c r="I282" s="14">
        <f t="shared" si="23"/>
        <v>0</v>
      </c>
      <c r="J282" s="8">
        <f t="shared" si="25"/>
        <v>0</v>
      </c>
    </row>
    <row r="283" spans="1:10" x14ac:dyDescent="0.25">
      <c r="A283" s="3">
        <v>41920</v>
      </c>
      <c r="B283" s="13" t="str">
        <f t="shared" si="27"/>
        <v>Tue</v>
      </c>
      <c r="C283" s="7">
        <f t="shared" si="26"/>
        <v>41</v>
      </c>
      <c r="H283" s="14" t="str">
        <f t="shared" si="28"/>
        <v>7:48</v>
      </c>
      <c r="I283" s="14">
        <f t="shared" si="23"/>
        <v>0</v>
      </c>
      <c r="J283" s="8">
        <f t="shared" si="25"/>
        <v>0</v>
      </c>
    </row>
    <row r="284" spans="1:10" x14ac:dyDescent="0.25">
      <c r="A284" s="3">
        <v>41921</v>
      </c>
      <c r="B284" s="13" t="str">
        <f t="shared" si="27"/>
        <v>Wed</v>
      </c>
      <c r="C284" s="7">
        <f t="shared" si="26"/>
        <v>41</v>
      </c>
      <c r="H284" s="14" t="str">
        <f t="shared" si="28"/>
        <v>7:48</v>
      </c>
      <c r="I284" s="14">
        <f t="shared" si="23"/>
        <v>0</v>
      </c>
      <c r="J284" s="8">
        <f t="shared" si="25"/>
        <v>0</v>
      </c>
    </row>
    <row r="285" spans="1:10" x14ac:dyDescent="0.25">
      <c r="A285" s="3">
        <v>41922</v>
      </c>
      <c r="B285" s="13" t="str">
        <f t="shared" si="27"/>
        <v>Thu</v>
      </c>
      <c r="C285" s="7">
        <f t="shared" si="26"/>
        <v>41</v>
      </c>
      <c r="H285" s="14" t="str">
        <f t="shared" si="28"/>
        <v>7:48</v>
      </c>
      <c r="I285" s="14">
        <f t="shared" si="23"/>
        <v>0</v>
      </c>
      <c r="J285" s="8">
        <f t="shared" si="25"/>
        <v>0</v>
      </c>
    </row>
    <row r="286" spans="1:10" x14ac:dyDescent="0.25">
      <c r="A286" s="3">
        <v>41923</v>
      </c>
      <c r="B286" s="13" t="str">
        <f t="shared" si="27"/>
        <v>Fri</v>
      </c>
      <c r="C286" s="7">
        <f t="shared" si="26"/>
        <v>41</v>
      </c>
      <c r="H286" s="14" t="str">
        <f t="shared" si="28"/>
        <v>7:48</v>
      </c>
      <c r="I286" s="14">
        <f t="shared" si="23"/>
        <v>0</v>
      </c>
      <c r="J286" s="8">
        <f t="shared" si="25"/>
        <v>0</v>
      </c>
    </row>
    <row r="287" spans="1:10" x14ac:dyDescent="0.25">
      <c r="A287" s="3">
        <v>41924</v>
      </c>
      <c r="B287" s="13" t="str">
        <f t="shared" si="27"/>
        <v>Sat</v>
      </c>
      <c r="C287" s="7">
        <f t="shared" si="26"/>
        <v>41</v>
      </c>
      <c r="H287" s="14" t="str">
        <f t="shared" si="28"/>
        <v>0:00</v>
      </c>
      <c r="I287" s="14">
        <f t="shared" si="23"/>
        <v>0</v>
      </c>
      <c r="J287" s="8">
        <f t="shared" si="25"/>
        <v>0</v>
      </c>
    </row>
    <row r="288" spans="1:10" x14ac:dyDescent="0.25">
      <c r="A288" s="3">
        <v>41925</v>
      </c>
      <c r="B288" s="13" t="str">
        <f t="shared" si="27"/>
        <v>Sun</v>
      </c>
      <c r="C288" s="7">
        <f t="shared" si="26"/>
        <v>41</v>
      </c>
      <c r="H288" s="14" t="str">
        <f t="shared" si="28"/>
        <v>0:00</v>
      </c>
      <c r="I288" s="14">
        <f t="shared" si="23"/>
        <v>0</v>
      </c>
      <c r="J288" s="8">
        <f t="shared" si="25"/>
        <v>0</v>
      </c>
    </row>
    <row r="289" spans="1:10" x14ac:dyDescent="0.25">
      <c r="A289" s="3">
        <v>41926</v>
      </c>
      <c r="B289" s="13" t="str">
        <f t="shared" si="27"/>
        <v>Mon</v>
      </c>
      <c r="C289" s="7">
        <f t="shared" si="26"/>
        <v>42</v>
      </c>
      <c r="H289" s="14" t="str">
        <f t="shared" si="28"/>
        <v>7:48</v>
      </c>
      <c r="I289" s="14">
        <f t="shared" si="23"/>
        <v>0</v>
      </c>
      <c r="J289" s="8">
        <f t="shared" si="25"/>
        <v>0</v>
      </c>
    </row>
    <row r="290" spans="1:10" x14ac:dyDescent="0.25">
      <c r="A290" s="3">
        <v>41927</v>
      </c>
      <c r="B290" s="13" t="str">
        <f t="shared" si="27"/>
        <v>Tue</v>
      </c>
      <c r="C290" s="7">
        <f t="shared" si="26"/>
        <v>42</v>
      </c>
      <c r="H290" s="14" t="str">
        <f t="shared" si="28"/>
        <v>7:48</v>
      </c>
      <c r="I290" s="14">
        <f t="shared" si="23"/>
        <v>0</v>
      </c>
      <c r="J290" s="8">
        <f t="shared" si="25"/>
        <v>0</v>
      </c>
    </row>
    <row r="291" spans="1:10" x14ac:dyDescent="0.25">
      <c r="A291" s="3">
        <v>41928</v>
      </c>
      <c r="B291" s="13" t="str">
        <f t="shared" si="27"/>
        <v>Wed</v>
      </c>
      <c r="C291" s="7">
        <f t="shared" si="26"/>
        <v>42</v>
      </c>
      <c r="H291" s="14" t="str">
        <f t="shared" si="28"/>
        <v>7:48</v>
      </c>
      <c r="I291" s="14">
        <f t="shared" si="23"/>
        <v>0</v>
      </c>
      <c r="J291" s="8">
        <f t="shared" si="25"/>
        <v>0</v>
      </c>
    </row>
    <row r="292" spans="1:10" x14ac:dyDescent="0.25">
      <c r="A292" s="3">
        <v>41929</v>
      </c>
      <c r="B292" s="13" t="str">
        <f t="shared" si="27"/>
        <v>Thu</v>
      </c>
      <c r="C292" s="7">
        <f t="shared" si="26"/>
        <v>42</v>
      </c>
      <c r="H292" s="14" t="str">
        <f t="shared" si="28"/>
        <v>7:48</v>
      </c>
      <c r="I292" s="14">
        <f t="shared" si="23"/>
        <v>0</v>
      </c>
      <c r="J292" s="8">
        <f t="shared" si="25"/>
        <v>0</v>
      </c>
    </row>
    <row r="293" spans="1:10" x14ac:dyDescent="0.25">
      <c r="A293" s="3">
        <v>41930</v>
      </c>
      <c r="B293" s="13" t="str">
        <f t="shared" si="27"/>
        <v>Fri</v>
      </c>
      <c r="C293" s="7">
        <f t="shared" si="26"/>
        <v>42</v>
      </c>
      <c r="H293" s="14" t="str">
        <f t="shared" si="28"/>
        <v>7:48</v>
      </c>
      <c r="I293" s="14">
        <f t="shared" si="23"/>
        <v>0</v>
      </c>
      <c r="J293" s="8">
        <f t="shared" si="25"/>
        <v>0</v>
      </c>
    </row>
    <row r="294" spans="1:10" x14ac:dyDescent="0.25">
      <c r="A294" s="3">
        <v>41931</v>
      </c>
      <c r="B294" s="13" t="str">
        <f t="shared" si="27"/>
        <v>Sat</v>
      </c>
      <c r="C294" s="7">
        <f t="shared" si="26"/>
        <v>42</v>
      </c>
      <c r="H294" s="14" t="str">
        <f t="shared" si="28"/>
        <v>0:00</v>
      </c>
      <c r="I294" s="14">
        <f t="shared" si="23"/>
        <v>0</v>
      </c>
      <c r="J294" s="8">
        <f t="shared" si="25"/>
        <v>0</v>
      </c>
    </row>
    <row r="295" spans="1:10" x14ac:dyDescent="0.25">
      <c r="A295" s="3">
        <v>41932</v>
      </c>
      <c r="B295" s="13" t="str">
        <f t="shared" si="27"/>
        <v>Sun</v>
      </c>
      <c r="C295" s="7">
        <f t="shared" si="26"/>
        <v>42</v>
      </c>
      <c r="H295" s="14" t="str">
        <f t="shared" si="28"/>
        <v>0:00</v>
      </c>
      <c r="I295" s="14">
        <f t="shared" si="23"/>
        <v>0</v>
      </c>
      <c r="J295" s="8">
        <f t="shared" si="25"/>
        <v>0</v>
      </c>
    </row>
    <row r="296" spans="1:10" x14ac:dyDescent="0.25">
      <c r="A296" s="3">
        <v>41933</v>
      </c>
      <c r="B296" s="13" t="str">
        <f t="shared" si="27"/>
        <v>Mon</v>
      </c>
      <c r="C296" s="7">
        <f t="shared" si="26"/>
        <v>43</v>
      </c>
      <c r="H296" s="14" t="str">
        <f t="shared" si="28"/>
        <v>7:48</v>
      </c>
      <c r="I296" s="14">
        <f t="shared" si="23"/>
        <v>0</v>
      </c>
      <c r="J296" s="8">
        <f t="shared" si="25"/>
        <v>0</v>
      </c>
    </row>
    <row r="297" spans="1:10" x14ac:dyDescent="0.25">
      <c r="A297" s="3">
        <v>41934</v>
      </c>
      <c r="B297" s="13" t="str">
        <f t="shared" si="27"/>
        <v>Tue</v>
      </c>
      <c r="C297" s="7">
        <f t="shared" si="26"/>
        <v>43</v>
      </c>
      <c r="H297" s="14" t="str">
        <f t="shared" si="28"/>
        <v>7:48</v>
      </c>
      <c r="I297" s="14">
        <f t="shared" si="23"/>
        <v>0</v>
      </c>
      <c r="J297" s="8">
        <f t="shared" si="25"/>
        <v>0</v>
      </c>
    </row>
    <row r="298" spans="1:10" x14ac:dyDescent="0.25">
      <c r="A298" s="3">
        <v>41935</v>
      </c>
      <c r="B298" s="13" t="str">
        <f t="shared" si="27"/>
        <v>Wed</v>
      </c>
      <c r="C298" s="7">
        <f t="shared" si="26"/>
        <v>43</v>
      </c>
      <c r="H298" s="14" t="str">
        <f t="shared" si="28"/>
        <v>7:48</v>
      </c>
      <c r="I298" s="14">
        <f t="shared" si="23"/>
        <v>0</v>
      </c>
      <c r="J298" s="8">
        <f t="shared" si="25"/>
        <v>0</v>
      </c>
    </row>
    <row r="299" spans="1:10" x14ac:dyDescent="0.25">
      <c r="A299" s="3">
        <v>41936</v>
      </c>
      <c r="B299" s="13" t="str">
        <f t="shared" si="27"/>
        <v>Thu</v>
      </c>
      <c r="C299" s="7">
        <f t="shared" si="26"/>
        <v>43</v>
      </c>
      <c r="H299" s="14" t="str">
        <f t="shared" si="28"/>
        <v>7:48</v>
      </c>
      <c r="I299" s="14">
        <f t="shared" si="23"/>
        <v>0</v>
      </c>
      <c r="J299" s="8">
        <f t="shared" si="25"/>
        <v>0</v>
      </c>
    </row>
    <row r="300" spans="1:10" x14ac:dyDescent="0.25">
      <c r="A300" s="3">
        <v>41937</v>
      </c>
      <c r="B300" s="13" t="str">
        <f t="shared" si="27"/>
        <v>Fri</v>
      </c>
      <c r="C300" s="7">
        <f t="shared" si="26"/>
        <v>43</v>
      </c>
      <c r="H300" s="14" t="str">
        <f t="shared" si="28"/>
        <v>7:48</v>
      </c>
      <c r="I300" s="14">
        <f t="shared" si="23"/>
        <v>0</v>
      </c>
      <c r="J300" s="8">
        <f t="shared" si="25"/>
        <v>0</v>
      </c>
    </row>
    <row r="301" spans="1:10" x14ac:dyDescent="0.25">
      <c r="A301" s="3">
        <v>41938</v>
      </c>
      <c r="B301" s="13" t="str">
        <f t="shared" si="27"/>
        <v>Sat</v>
      </c>
      <c r="C301" s="7">
        <f t="shared" si="26"/>
        <v>43</v>
      </c>
      <c r="H301" s="14" t="str">
        <f t="shared" si="28"/>
        <v>0:00</v>
      </c>
      <c r="I301" s="14">
        <f t="shared" si="23"/>
        <v>0</v>
      </c>
      <c r="J301" s="8">
        <f t="shared" si="25"/>
        <v>0</v>
      </c>
    </row>
    <row r="302" spans="1:10" x14ac:dyDescent="0.25">
      <c r="A302" s="3">
        <v>41939</v>
      </c>
      <c r="B302" s="13" t="str">
        <f t="shared" si="27"/>
        <v>Sun</v>
      </c>
      <c r="C302" s="7">
        <f t="shared" si="26"/>
        <v>43</v>
      </c>
      <c r="H302" s="14" t="str">
        <f t="shared" si="28"/>
        <v>0:00</v>
      </c>
      <c r="I302" s="14">
        <f t="shared" si="23"/>
        <v>0</v>
      </c>
      <c r="J302" s="8">
        <f t="shared" si="25"/>
        <v>0</v>
      </c>
    </row>
    <row r="303" spans="1:10" x14ac:dyDescent="0.25">
      <c r="A303" s="3">
        <v>41940</v>
      </c>
      <c r="B303" s="13" t="str">
        <f t="shared" si="27"/>
        <v>Mon</v>
      </c>
      <c r="C303" s="7">
        <f t="shared" si="26"/>
        <v>44</v>
      </c>
      <c r="H303" s="14" t="str">
        <f t="shared" si="28"/>
        <v>7:48</v>
      </c>
      <c r="I303" s="14">
        <f t="shared" si="23"/>
        <v>0</v>
      </c>
      <c r="J303" s="8">
        <f t="shared" si="25"/>
        <v>0</v>
      </c>
    </row>
    <row r="304" spans="1:10" x14ac:dyDescent="0.25">
      <c r="A304" s="3">
        <v>41941</v>
      </c>
      <c r="B304" s="13" t="str">
        <f t="shared" si="27"/>
        <v>Tue</v>
      </c>
      <c r="C304" s="7">
        <f t="shared" si="26"/>
        <v>44</v>
      </c>
      <c r="H304" s="14" t="str">
        <f t="shared" si="28"/>
        <v>7:48</v>
      </c>
      <c r="I304" s="14">
        <f t="shared" si="23"/>
        <v>0</v>
      </c>
      <c r="J304" s="8">
        <f t="shared" si="25"/>
        <v>0</v>
      </c>
    </row>
    <row r="305" spans="1:10" x14ac:dyDescent="0.25">
      <c r="A305" s="3">
        <v>41942</v>
      </c>
      <c r="B305" s="13" t="str">
        <f t="shared" si="27"/>
        <v>Wed</v>
      </c>
      <c r="C305" s="7">
        <f t="shared" si="26"/>
        <v>44</v>
      </c>
      <c r="H305" s="14" t="str">
        <f t="shared" si="28"/>
        <v>7:48</v>
      </c>
      <c r="I305" s="14">
        <f t="shared" si="23"/>
        <v>0</v>
      </c>
      <c r="J305" s="8">
        <f t="shared" si="25"/>
        <v>0</v>
      </c>
    </row>
    <row r="306" spans="1:10" x14ac:dyDescent="0.25">
      <c r="A306" s="3">
        <v>41943</v>
      </c>
      <c r="B306" s="13" t="str">
        <f t="shared" si="27"/>
        <v>Thu</v>
      </c>
      <c r="C306" s="7">
        <f t="shared" si="26"/>
        <v>44</v>
      </c>
      <c r="H306" s="14" t="str">
        <f t="shared" si="28"/>
        <v>7:48</v>
      </c>
      <c r="I306" s="14">
        <f t="shared" si="23"/>
        <v>0</v>
      </c>
      <c r="J306" s="8">
        <f t="shared" si="25"/>
        <v>0</v>
      </c>
    </row>
    <row r="307" spans="1:10" x14ac:dyDescent="0.25">
      <c r="A307" s="3">
        <v>41944</v>
      </c>
      <c r="B307" s="13" t="str">
        <f t="shared" si="27"/>
        <v>Fri</v>
      </c>
      <c r="C307" s="7">
        <f t="shared" si="26"/>
        <v>44</v>
      </c>
      <c r="H307" s="14" t="str">
        <f t="shared" si="28"/>
        <v>7:48</v>
      </c>
      <c r="I307" s="14">
        <f t="shared" si="23"/>
        <v>0</v>
      </c>
      <c r="J307" s="8">
        <f t="shared" si="25"/>
        <v>0</v>
      </c>
    </row>
    <row r="308" spans="1:10" x14ac:dyDescent="0.25">
      <c r="A308" s="3">
        <v>41945</v>
      </c>
      <c r="B308" s="13" t="str">
        <f t="shared" si="27"/>
        <v>Sat</v>
      </c>
      <c r="C308" s="7">
        <f t="shared" si="26"/>
        <v>44</v>
      </c>
      <c r="H308" s="14" t="str">
        <f t="shared" si="28"/>
        <v>0:00</v>
      </c>
      <c r="I308" s="14">
        <f t="shared" si="23"/>
        <v>0</v>
      </c>
      <c r="J308" s="8">
        <f t="shared" si="25"/>
        <v>0</v>
      </c>
    </row>
    <row r="309" spans="1:10" x14ac:dyDescent="0.25">
      <c r="A309" s="3">
        <v>41946</v>
      </c>
      <c r="B309" s="13" t="str">
        <f t="shared" si="27"/>
        <v>Sun</v>
      </c>
      <c r="C309" s="7">
        <f t="shared" si="26"/>
        <v>44</v>
      </c>
      <c r="H309" s="14" t="str">
        <f t="shared" si="28"/>
        <v>0:00</v>
      </c>
      <c r="I309" s="14">
        <f t="shared" si="23"/>
        <v>0</v>
      </c>
      <c r="J309" s="8">
        <f t="shared" si="25"/>
        <v>0</v>
      </c>
    </row>
    <row r="310" spans="1:10" x14ac:dyDescent="0.25">
      <c r="A310" s="3">
        <v>41947</v>
      </c>
      <c r="B310" s="13" t="str">
        <f t="shared" si="27"/>
        <v>Mon</v>
      </c>
      <c r="C310" s="7">
        <f t="shared" si="26"/>
        <v>45</v>
      </c>
      <c r="H310" s="14" t="str">
        <f t="shared" si="28"/>
        <v>7:48</v>
      </c>
      <c r="I310" s="14">
        <f t="shared" si="23"/>
        <v>0</v>
      </c>
      <c r="J310" s="8">
        <f t="shared" si="25"/>
        <v>0</v>
      </c>
    </row>
    <row r="311" spans="1:10" x14ac:dyDescent="0.25">
      <c r="A311" s="3">
        <v>41948</v>
      </c>
      <c r="B311" s="13" t="str">
        <f t="shared" si="27"/>
        <v>Tue</v>
      </c>
      <c r="C311" s="7">
        <f t="shared" si="26"/>
        <v>45</v>
      </c>
      <c r="H311" s="14" t="str">
        <f t="shared" si="28"/>
        <v>7:48</v>
      </c>
      <c r="I311" s="14">
        <f t="shared" si="23"/>
        <v>0</v>
      </c>
      <c r="J311" s="8">
        <f t="shared" si="25"/>
        <v>0</v>
      </c>
    </row>
    <row r="312" spans="1:10" x14ac:dyDescent="0.25">
      <c r="A312" s="3">
        <v>41949</v>
      </c>
      <c r="B312" s="13" t="str">
        <f t="shared" si="27"/>
        <v>Wed</v>
      </c>
      <c r="C312" s="7">
        <f t="shared" si="26"/>
        <v>45</v>
      </c>
      <c r="H312" s="14" t="str">
        <f t="shared" si="28"/>
        <v>7:48</v>
      </c>
      <c r="I312" s="14">
        <f t="shared" si="23"/>
        <v>0</v>
      </c>
      <c r="J312" s="8">
        <f t="shared" si="25"/>
        <v>0</v>
      </c>
    </row>
    <row r="313" spans="1:10" x14ac:dyDescent="0.25">
      <c r="A313" s="3">
        <v>41950</v>
      </c>
      <c r="B313" s="13" t="str">
        <f t="shared" si="27"/>
        <v>Thu</v>
      </c>
      <c r="C313" s="7">
        <f t="shared" si="26"/>
        <v>45</v>
      </c>
      <c r="H313" s="14" t="str">
        <f t="shared" si="28"/>
        <v>7:48</v>
      </c>
      <c r="I313" s="14">
        <f t="shared" si="23"/>
        <v>0</v>
      </c>
      <c r="J313" s="8">
        <f t="shared" si="25"/>
        <v>0</v>
      </c>
    </row>
    <row r="314" spans="1:10" x14ac:dyDescent="0.25">
      <c r="A314" s="3">
        <v>41951</v>
      </c>
      <c r="B314" s="13" t="str">
        <f t="shared" si="27"/>
        <v>Fri</v>
      </c>
      <c r="C314" s="7">
        <f t="shared" si="26"/>
        <v>45</v>
      </c>
      <c r="H314" s="14" t="str">
        <f t="shared" si="28"/>
        <v>7:48</v>
      </c>
      <c r="I314" s="14">
        <f t="shared" si="23"/>
        <v>0</v>
      </c>
      <c r="J314" s="8">
        <f t="shared" si="25"/>
        <v>0</v>
      </c>
    </row>
    <row r="315" spans="1:10" x14ac:dyDescent="0.25">
      <c r="A315" s="3">
        <v>41952</v>
      </c>
      <c r="B315" s="13" t="str">
        <f t="shared" si="27"/>
        <v>Sat</v>
      </c>
      <c r="C315" s="7">
        <f t="shared" si="26"/>
        <v>45</v>
      </c>
      <c r="H315" s="14" t="str">
        <f t="shared" si="28"/>
        <v>0:00</v>
      </c>
      <c r="I315" s="14">
        <f t="shared" si="23"/>
        <v>0</v>
      </c>
      <c r="J315" s="8">
        <f t="shared" si="25"/>
        <v>0</v>
      </c>
    </row>
    <row r="316" spans="1:10" x14ac:dyDescent="0.25">
      <c r="A316" s="3">
        <v>41953</v>
      </c>
      <c r="B316" s="13" t="str">
        <f t="shared" si="27"/>
        <v>Sun</v>
      </c>
      <c r="C316" s="7">
        <f t="shared" si="26"/>
        <v>45</v>
      </c>
      <c r="H316" s="14" t="str">
        <f t="shared" si="28"/>
        <v>0:00</v>
      </c>
      <c r="I316" s="14">
        <f t="shared" si="23"/>
        <v>0</v>
      </c>
      <c r="J316" s="8">
        <f t="shared" si="25"/>
        <v>0</v>
      </c>
    </row>
    <row r="317" spans="1:10" x14ac:dyDescent="0.25">
      <c r="A317" s="3">
        <v>41954</v>
      </c>
      <c r="B317" s="13" t="str">
        <f t="shared" si="27"/>
        <v>Mon</v>
      </c>
      <c r="C317" s="7">
        <f t="shared" si="26"/>
        <v>46</v>
      </c>
      <c r="H317" s="14" t="str">
        <f t="shared" si="28"/>
        <v>7:48</v>
      </c>
      <c r="I317" s="14">
        <f t="shared" si="23"/>
        <v>0</v>
      </c>
      <c r="J317" s="8">
        <f t="shared" si="25"/>
        <v>0</v>
      </c>
    </row>
    <row r="318" spans="1:10" x14ac:dyDescent="0.25">
      <c r="A318" s="3">
        <v>41955</v>
      </c>
      <c r="B318" s="13" t="str">
        <f t="shared" si="27"/>
        <v>Tue</v>
      </c>
      <c r="C318" s="7">
        <f t="shared" si="26"/>
        <v>46</v>
      </c>
      <c r="H318" s="14" t="str">
        <f t="shared" si="28"/>
        <v>7:48</v>
      </c>
      <c r="I318" s="14">
        <f t="shared" si="23"/>
        <v>0</v>
      </c>
      <c r="J318" s="8">
        <f t="shared" si="25"/>
        <v>0</v>
      </c>
    </row>
    <row r="319" spans="1:10" x14ac:dyDescent="0.25">
      <c r="A319" s="3">
        <v>41956</v>
      </c>
      <c r="B319" s="13" t="str">
        <f t="shared" si="27"/>
        <v>Wed</v>
      </c>
      <c r="C319" s="7">
        <f t="shared" si="26"/>
        <v>46</v>
      </c>
      <c r="H319" s="14" t="str">
        <f t="shared" si="28"/>
        <v>7:48</v>
      </c>
      <c r="I319" s="14">
        <f t="shared" si="23"/>
        <v>0</v>
      </c>
      <c r="J319" s="8">
        <f t="shared" si="25"/>
        <v>0</v>
      </c>
    </row>
    <row r="320" spans="1:10" x14ac:dyDescent="0.25">
      <c r="A320" s="3">
        <v>41957</v>
      </c>
      <c r="B320" s="13" t="str">
        <f t="shared" si="27"/>
        <v>Thu</v>
      </c>
      <c r="C320" s="7">
        <f t="shared" si="26"/>
        <v>46</v>
      </c>
      <c r="H320" s="14" t="str">
        <f t="shared" si="28"/>
        <v>7:48</v>
      </c>
      <c r="I320" s="14">
        <f t="shared" si="23"/>
        <v>0</v>
      </c>
      <c r="J320" s="8">
        <f t="shared" si="25"/>
        <v>0</v>
      </c>
    </row>
    <row r="321" spans="1:10" x14ac:dyDescent="0.25">
      <c r="A321" s="3">
        <v>41958</v>
      </c>
      <c r="B321" s="13" t="str">
        <f t="shared" si="27"/>
        <v>Fri</v>
      </c>
      <c r="C321" s="7">
        <f t="shared" si="26"/>
        <v>46</v>
      </c>
      <c r="H321" s="14" t="str">
        <f t="shared" si="28"/>
        <v>7:48</v>
      </c>
      <c r="I321" s="14">
        <f t="shared" si="23"/>
        <v>0</v>
      </c>
      <c r="J321" s="8">
        <f t="shared" si="25"/>
        <v>0</v>
      </c>
    </row>
    <row r="322" spans="1:10" x14ac:dyDescent="0.25">
      <c r="A322" s="3">
        <v>41959</v>
      </c>
      <c r="B322" s="13" t="str">
        <f t="shared" si="27"/>
        <v>Sat</v>
      </c>
      <c r="C322" s="7">
        <f t="shared" si="26"/>
        <v>46</v>
      </c>
      <c r="H322" s="14" t="str">
        <f t="shared" si="28"/>
        <v>0:00</v>
      </c>
      <c r="I322" s="14">
        <f t="shared" ref="I322:I366" si="29">IF(COUNTIF(nonprod_types, $D322)&gt;0, "7:48", ($F322-$E322)-$G322)</f>
        <v>0</v>
      </c>
      <c r="J322" s="8">
        <f t="shared" si="25"/>
        <v>0</v>
      </c>
    </row>
    <row r="323" spans="1:10" x14ac:dyDescent="0.25">
      <c r="A323" s="3">
        <v>41960</v>
      </c>
      <c r="B323" s="13" t="str">
        <f t="shared" si="27"/>
        <v>Sun</v>
      </c>
      <c r="C323" s="7">
        <f t="shared" si="26"/>
        <v>46</v>
      </c>
      <c r="H323" s="14" t="str">
        <f t="shared" si="28"/>
        <v>0:00</v>
      </c>
      <c r="I323" s="14">
        <f t="shared" si="29"/>
        <v>0</v>
      </c>
      <c r="J323" s="8">
        <f t="shared" si="25"/>
        <v>0</v>
      </c>
    </row>
    <row r="324" spans="1:10" x14ac:dyDescent="0.25">
      <c r="A324" s="3">
        <v>41961</v>
      </c>
      <c r="B324" s="13" t="str">
        <f t="shared" si="27"/>
        <v>Mon</v>
      </c>
      <c r="C324" s="7">
        <f t="shared" si="26"/>
        <v>47</v>
      </c>
      <c r="H324" s="14" t="str">
        <f t="shared" si="28"/>
        <v>7:48</v>
      </c>
      <c r="I324" s="14">
        <f t="shared" si="29"/>
        <v>0</v>
      </c>
      <c r="J324" s="8">
        <f t="shared" ref="J324:J366" si="30">IF(D324="",0,$I324-$H324)</f>
        <v>0</v>
      </c>
    </row>
    <row r="325" spans="1:10" x14ac:dyDescent="0.25">
      <c r="A325" s="3">
        <v>41962</v>
      </c>
      <c r="B325" s="13" t="str">
        <f t="shared" si="27"/>
        <v>Tue</v>
      </c>
      <c r="C325" s="7">
        <f t="shared" si="26"/>
        <v>47</v>
      </c>
      <c r="H325" s="14" t="str">
        <f t="shared" si="28"/>
        <v>7:48</v>
      </c>
      <c r="I325" s="14">
        <f t="shared" si="29"/>
        <v>0</v>
      </c>
      <c r="J325" s="8">
        <f t="shared" si="30"/>
        <v>0</v>
      </c>
    </row>
    <row r="326" spans="1:10" x14ac:dyDescent="0.25">
      <c r="A326" s="3">
        <v>41963</v>
      </c>
      <c r="B326" s="13" t="str">
        <f t="shared" si="27"/>
        <v>Wed</v>
      </c>
      <c r="C326" s="7">
        <f t="shared" si="26"/>
        <v>47</v>
      </c>
      <c r="H326" s="14" t="str">
        <f t="shared" si="28"/>
        <v>7:48</v>
      </c>
      <c r="I326" s="14">
        <f t="shared" si="29"/>
        <v>0</v>
      </c>
      <c r="J326" s="8">
        <f t="shared" si="30"/>
        <v>0</v>
      </c>
    </row>
    <row r="327" spans="1:10" x14ac:dyDescent="0.25">
      <c r="A327" s="3">
        <v>41964</v>
      </c>
      <c r="B327" s="13" t="str">
        <f t="shared" si="27"/>
        <v>Thu</v>
      </c>
      <c r="C327" s="7">
        <f t="shared" si="26"/>
        <v>47</v>
      </c>
      <c r="H327" s="14" t="str">
        <f t="shared" si="28"/>
        <v>7:48</v>
      </c>
      <c r="I327" s="14">
        <f t="shared" si="29"/>
        <v>0</v>
      </c>
      <c r="J327" s="8">
        <f t="shared" si="30"/>
        <v>0</v>
      </c>
    </row>
    <row r="328" spans="1:10" x14ac:dyDescent="0.25">
      <c r="A328" s="3">
        <v>41965</v>
      </c>
      <c r="B328" s="13" t="str">
        <f t="shared" si="27"/>
        <v>Fri</v>
      </c>
      <c r="C328" s="7">
        <f t="shared" si="26"/>
        <v>47</v>
      </c>
      <c r="H328" s="14" t="str">
        <f t="shared" si="28"/>
        <v>7:48</v>
      </c>
      <c r="I328" s="14">
        <f t="shared" si="29"/>
        <v>0</v>
      </c>
      <c r="J328" s="8">
        <f t="shared" si="30"/>
        <v>0</v>
      </c>
    </row>
    <row r="329" spans="1:10" x14ac:dyDescent="0.25">
      <c r="A329" s="3">
        <v>41966</v>
      </c>
      <c r="B329" s="13" t="str">
        <f t="shared" si="27"/>
        <v>Sat</v>
      </c>
      <c r="C329" s="7">
        <f t="shared" si="26"/>
        <v>47</v>
      </c>
      <c r="H329" s="14" t="str">
        <f t="shared" si="28"/>
        <v>0:00</v>
      </c>
      <c r="I329" s="14">
        <f t="shared" si="29"/>
        <v>0</v>
      </c>
      <c r="J329" s="8">
        <f t="shared" si="30"/>
        <v>0</v>
      </c>
    </row>
    <row r="330" spans="1:10" x14ac:dyDescent="0.25">
      <c r="A330" s="3">
        <v>41967</v>
      </c>
      <c r="B330" s="13" t="str">
        <f t="shared" si="27"/>
        <v>Sun</v>
      </c>
      <c r="C330" s="7">
        <f t="shared" si="26"/>
        <v>47</v>
      </c>
      <c r="H330" s="14" t="str">
        <f t="shared" si="28"/>
        <v>0:00</v>
      </c>
      <c r="I330" s="14">
        <f t="shared" si="29"/>
        <v>0</v>
      </c>
      <c r="J330" s="8">
        <f t="shared" si="30"/>
        <v>0</v>
      </c>
    </row>
    <row r="331" spans="1:10" x14ac:dyDescent="0.25">
      <c r="A331" s="3">
        <v>41968</v>
      </c>
      <c r="B331" s="13" t="str">
        <f t="shared" si="27"/>
        <v>Mon</v>
      </c>
      <c r="C331" s="7">
        <f t="shared" si="26"/>
        <v>48</v>
      </c>
      <c r="H331" s="14" t="str">
        <f t="shared" si="28"/>
        <v>7:48</v>
      </c>
      <c r="I331" s="14">
        <f t="shared" si="29"/>
        <v>0</v>
      </c>
      <c r="J331" s="8">
        <f t="shared" si="30"/>
        <v>0</v>
      </c>
    </row>
    <row r="332" spans="1:10" x14ac:dyDescent="0.25">
      <c r="A332" s="3">
        <v>41969</v>
      </c>
      <c r="B332" s="13" t="str">
        <f t="shared" si="27"/>
        <v>Tue</v>
      </c>
      <c r="C332" s="7">
        <f t="shared" si="26"/>
        <v>48</v>
      </c>
      <c r="H332" s="14" t="str">
        <f t="shared" si="28"/>
        <v>7:48</v>
      </c>
      <c r="I332" s="14">
        <f t="shared" si="29"/>
        <v>0</v>
      </c>
      <c r="J332" s="8">
        <f t="shared" si="30"/>
        <v>0</v>
      </c>
    </row>
    <row r="333" spans="1:10" x14ac:dyDescent="0.25">
      <c r="A333" s="3">
        <v>41970</v>
      </c>
      <c r="B333" s="13" t="str">
        <f t="shared" ref="B333:B366" si="31">CHOOSE(WEEKDAY($A333,2),"Mon","Tue","Wed","Thu","Fri","Sat","Sun")</f>
        <v>Wed</v>
      </c>
      <c r="C333" s="7">
        <f t="shared" ref="C333:C366" si="32">_xlfn.ISOWEEKNUM($A333)</f>
        <v>48</v>
      </c>
      <c r="H333" s="14" t="str">
        <f t="shared" ref="H333:H366" si="33">IF(WEEKDAY($A333,2)&lt;=5,"7:48","0:00")</f>
        <v>7:48</v>
      </c>
      <c r="I333" s="14">
        <f t="shared" si="29"/>
        <v>0</v>
      </c>
      <c r="J333" s="8">
        <f t="shared" si="30"/>
        <v>0</v>
      </c>
    </row>
    <row r="334" spans="1:10" x14ac:dyDescent="0.25">
      <c r="A334" s="3">
        <v>41971</v>
      </c>
      <c r="B334" s="13" t="str">
        <f t="shared" si="31"/>
        <v>Thu</v>
      </c>
      <c r="C334" s="7">
        <f t="shared" si="32"/>
        <v>48</v>
      </c>
      <c r="H334" s="14" t="str">
        <f t="shared" si="33"/>
        <v>7:48</v>
      </c>
      <c r="I334" s="14">
        <f t="shared" si="29"/>
        <v>0</v>
      </c>
      <c r="J334" s="8">
        <f t="shared" si="30"/>
        <v>0</v>
      </c>
    </row>
    <row r="335" spans="1:10" x14ac:dyDescent="0.25">
      <c r="A335" s="3">
        <v>41972</v>
      </c>
      <c r="B335" s="13" t="str">
        <f t="shared" si="31"/>
        <v>Fri</v>
      </c>
      <c r="C335" s="7">
        <f t="shared" si="32"/>
        <v>48</v>
      </c>
      <c r="H335" s="14" t="str">
        <f t="shared" si="33"/>
        <v>7:48</v>
      </c>
      <c r="I335" s="14">
        <f t="shared" si="29"/>
        <v>0</v>
      </c>
      <c r="J335" s="8">
        <f t="shared" si="30"/>
        <v>0</v>
      </c>
    </row>
    <row r="336" spans="1:10" x14ac:dyDescent="0.25">
      <c r="A336" s="3">
        <v>41973</v>
      </c>
      <c r="B336" s="13" t="str">
        <f t="shared" si="31"/>
        <v>Sat</v>
      </c>
      <c r="C336" s="7">
        <f t="shared" si="32"/>
        <v>48</v>
      </c>
      <c r="H336" s="14" t="str">
        <f t="shared" si="33"/>
        <v>0:00</v>
      </c>
      <c r="I336" s="14">
        <f t="shared" si="29"/>
        <v>0</v>
      </c>
      <c r="J336" s="8">
        <f t="shared" si="30"/>
        <v>0</v>
      </c>
    </row>
    <row r="337" spans="1:10" x14ac:dyDescent="0.25">
      <c r="A337" s="3">
        <v>41974</v>
      </c>
      <c r="B337" s="13" t="str">
        <f t="shared" si="31"/>
        <v>Sun</v>
      </c>
      <c r="C337" s="7">
        <f t="shared" si="32"/>
        <v>48</v>
      </c>
      <c r="H337" s="14" t="str">
        <f t="shared" si="33"/>
        <v>0:00</v>
      </c>
      <c r="I337" s="14">
        <f t="shared" si="29"/>
        <v>0</v>
      </c>
      <c r="J337" s="8">
        <f t="shared" si="30"/>
        <v>0</v>
      </c>
    </row>
    <row r="338" spans="1:10" x14ac:dyDescent="0.25">
      <c r="A338" s="3">
        <v>41975</v>
      </c>
      <c r="B338" s="13" t="str">
        <f t="shared" si="31"/>
        <v>Mon</v>
      </c>
      <c r="C338" s="7">
        <f t="shared" si="32"/>
        <v>49</v>
      </c>
      <c r="H338" s="14" t="str">
        <f t="shared" si="33"/>
        <v>7:48</v>
      </c>
      <c r="I338" s="14">
        <f t="shared" si="29"/>
        <v>0</v>
      </c>
      <c r="J338" s="8">
        <f t="shared" si="30"/>
        <v>0</v>
      </c>
    </row>
    <row r="339" spans="1:10" x14ac:dyDescent="0.25">
      <c r="A339" s="3">
        <v>41976</v>
      </c>
      <c r="B339" s="13" t="str">
        <f t="shared" si="31"/>
        <v>Tue</v>
      </c>
      <c r="C339" s="7">
        <f t="shared" si="32"/>
        <v>49</v>
      </c>
      <c r="H339" s="14" t="str">
        <f t="shared" si="33"/>
        <v>7:48</v>
      </c>
      <c r="I339" s="14">
        <f t="shared" si="29"/>
        <v>0</v>
      </c>
      <c r="J339" s="8">
        <f t="shared" si="30"/>
        <v>0</v>
      </c>
    </row>
    <row r="340" spans="1:10" x14ac:dyDescent="0.25">
      <c r="A340" s="3">
        <v>41977</v>
      </c>
      <c r="B340" s="13" t="str">
        <f t="shared" si="31"/>
        <v>Wed</v>
      </c>
      <c r="C340" s="7">
        <f t="shared" si="32"/>
        <v>49</v>
      </c>
      <c r="H340" s="14" t="str">
        <f t="shared" si="33"/>
        <v>7:48</v>
      </c>
      <c r="I340" s="14">
        <f t="shared" si="29"/>
        <v>0</v>
      </c>
      <c r="J340" s="8">
        <f t="shared" si="30"/>
        <v>0</v>
      </c>
    </row>
    <row r="341" spans="1:10" x14ac:dyDescent="0.25">
      <c r="A341" s="3">
        <v>41978</v>
      </c>
      <c r="B341" s="13" t="str">
        <f t="shared" si="31"/>
        <v>Thu</v>
      </c>
      <c r="C341" s="7">
        <f t="shared" si="32"/>
        <v>49</v>
      </c>
      <c r="H341" s="14" t="str">
        <f t="shared" si="33"/>
        <v>7:48</v>
      </c>
      <c r="I341" s="14">
        <f t="shared" si="29"/>
        <v>0</v>
      </c>
      <c r="J341" s="8">
        <f t="shared" si="30"/>
        <v>0</v>
      </c>
    </row>
    <row r="342" spans="1:10" x14ac:dyDescent="0.25">
      <c r="A342" s="3">
        <v>41979</v>
      </c>
      <c r="B342" s="13" t="str">
        <f t="shared" si="31"/>
        <v>Fri</v>
      </c>
      <c r="C342" s="7">
        <f t="shared" si="32"/>
        <v>49</v>
      </c>
      <c r="H342" s="14" t="str">
        <f t="shared" si="33"/>
        <v>7:48</v>
      </c>
      <c r="I342" s="14">
        <f t="shared" si="29"/>
        <v>0</v>
      </c>
      <c r="J342" s="8">
        <f t="shared" si="30"/>
        <v>0</v>
      </c>
    </row>
    <row r="343" spans="1:10" x14ac:dyDescent="0.25">
      <c r="A343" s="3">
        <v>41980</v>
      </c>
      <c r="B343" s="13" t="str">
        <f t="shared" si="31"/>
        <v>Sat</v>
      </c>
      <c r="C343" s="7">
        <f t="shared" si="32"/>
        <v>49</v>
      </c>
      <c r="H343" s="14" t="str">
        <f t="shared" si="33"/>
        <v>0:00</v>
      </c>
      <c r="I343" s="14">
        <f t="shared" si="29"/>
        <v>0</v>
      </c>
      <c r="J343" s="8">
        <f t="shared" si="30"/>
        <v>0</v>
      </c>
    </row>
    <row r="344" spans="1:10" x14ac:dyDescent="0.25">
      <c r="A344" s="3">
        <v>41981</v>
      </c>
      <c r="B344" s="13" t="str">
        <f t="shared" si="31"/>
        <v>Sun</v>
      </c>
      <c r="C344" s="7">
        <f t="shared" si="32"/>
        <v>49</v>
      </c>
      <c r="H344" s="14" t="str">
        <f t="shared" si="33"/>
        <v>0:00</v>
      </c>
      <c r="I344" s="14">
        <f t="shared" si="29"/>
        <v>0</v>
      </c>
      <c r="J344" s="8">
        <f t="shared" si="30"/>
        <v>0</v>
      </c>
    </row>
    <row r="345" spans="1:10" x14ac:dyDescent="0.25">
      <c r="A345" s="3">
        <v>41982</v>
      </c>
      <c r="B345" s="13" t="str">
        <f t="shared" si="31"/>
        <v>Mon</v>
      </c>
      <c r="C345" s="7">
        <f t="shared" si="32"/>
        <v>50</v>
      </c>
      <c r="H345" s="14" t="str">
        <f t="shared" si="33"/>
        <v>7:48</v>
      </c>
      <c r="I345" s="14">
        <f t="shared" si="29"/>
        <v>0</v>
      </c>
      <c r="J345" s="8">
        <f t="shared" si="30"/>
        <v>0</v>
      </c>
    </row>
    <row r="346" spans="1:10" x14ac:dyDescent="0.25">
      <c r="A346" s="3">
        <v>41983</v>
      </c>
      <c r="B346" s="13" t="str">
        <f t="shared" si="31"/>
        <v>Tue</v>
      </c>
      <c r="C346" s="7">
        <f t="shared" si="32"/>
        <v>50</v>
      </c>
      <c r="H346" s="14" t="str">
        <f t="shared" si="33"/>
        <v>7:48</v>
      </c>
      <c r="I346" s="14">
        <f t="shared" si="29"/>
        <v>0</v>
      </c>
      <c r="J346" s="8">
        <f t="shared" si="30"/>
        <v>0</v>
      </c>
    </row>
    <row r="347" spans="1:10" x14ac:dyDescent="0.25">
      <c r="A347" s="3">
        <v>41984</v>
      </c>
      <c r="B347" s="13" t="str">
        <f t="shared" si="31"/>
        <v>Wed</v>
      </c>
      <c r="C347" s="7">
        <f t="shared" si="32"/>
        <v>50</v>
      </c>
      <c r="H347" s="14" t="str">
        <f t="shared" si="33"/>
        <v>7:48</v>
      </c>
      <c r="I347" s="14">
        <f t="shared" si="29"/>
        <v>0</v>
      </c>
      <c r="J347" s="8">
        <f t="shared" si="30"/>
        <v>0</v>
      </c>
    </row>
    <row r="348" spans="1:10" x14ac:dyDescent="0.25">
      <c r="A348" s="3">
        <v>41985</v>
      </c>
      <c r="B348" s="13" t="str">
        <f t="shared" si="31"/>
        <v>Thu</v>
      </c>
      <c r="C348" s="7">
        <f t="shared" si="32"/>
        <v>50</v>
      </c>
      <c r="H348" s="14" t="str">
        <f t="shared" si="33"/>
        <v>7:48</v>
      </c>
      <c r="I348" s="14">
        <f t="shared" si="29"/>
        <v>0</v>
      </c>
      <c r="J348" s="8">
        <f t="shared" si="30"/>
        <v>0</v>
      </c>
    </row>
    <row r="349" spans="1:10" x14ac:dyDescent="0.25">
      <c r="A349" s="3">
        <v>41986</v>
      </c>
      <c r="B349" s="13" t="str">
        <f t="shared" si="31"/>
        <v>Fri</v>
      </c>
      <c r="C349" s="7">
        <f t="shared" si="32"/>
        <v>50</v>
      </c>
      <c r="H349" s="14" t="str">
        <f t="shared" si="33"/>
        <v>7:48</v>
      </c>
      <c r="I349" s="14">
        <f t="shared" si="29"/>
        <v>0</v>
      </c>
      <c r="J349" s="8">
        <f t="shared" si="30"/>
        <v>0</v>
      </c>
    </row>
    <row r="350" spans="1:10" x14ac:dyDescent="0.25">
      <c r="A350" s="3">
        <v>41987</v>
      </c>
      <c r="B350" s="13" t="str">
        <f t="shared" si="31"/>
        <v>Sat</v>
      </c>
      <c r="C350" s="7">
        <f t="shared" si="32"/>
        <v>50</v>
      </c>
      <c r="H350" s="14" t="str">
        <f t="shared" si="33"/>
        <v>0:00</v>
      </c>
      <c r="I350" s="14">
        <f t="shared" si="29"/>
        <v>0</v>
      </c>
      <c r="J350" s="8">
        <f t="shared" si="30"/>
        <v>0</v>
      </c>
    </row>
    <row r="351" spans="1:10" x14ac:dyDescent="0.25">
      <c r="A351" s="3">
        <v>41988</v>
      </c>
      <c r="B351" s="13" t="str">
        <f t="shared" si="31"/>
        <v>Sun</v>
      </c>
      <c r="C351" s="7">
        <f t="shared" si="32"/>
        <v>50</v>
      </c>
      <c r="H351" s="14" t="str">
        <f t="shared" si="33"/>
        <v>0:00</v>
      </c>
      <c r="I351" s="14">
        <f t="shared" si="29"/>
        <v>0</v>
      </c>
      <c r="J351" s="8">
        <f t="shared" si="30"/>
        <v>0</v>
      </c>
    </row>
    <row r="352" spans="1:10" x14ac:dyDescent="0.25">
      <c r="A352" s="3">
        <v>41989</v>
      </c>
      <c r="B352" s="13" t="str">
        <f t="shared" si="31"/>
        <v>Mon</v>
      </c>
      <c r="C352" s="7">
        <f t="shared" si="32"/>
        <v>51</v>
      </c>
      <c r="H352" s="14" t="str">
        <f t="shared" si="33"/>
        <v>7:48</v>
      </c>
      <c r="I352" s="14">
        <f t="shared" si="29"/>
        <v>0</v>
      </c>
      <c r="J352" s="8">
        <f t="shared" si="30"/>
        <v>0</v>
      </c>
    </row>
    <row r="353" spans="1:10" x14ac:dyDescent="0.25">
      <c r="A353" s="3">
        <v>41990</v>
      </c>
      <c r="B353" s="13" t="str">
        <f t="shared" si="31"/>
        <v>Tue</v>
      </c>
      <c r="C353" s="7">
        <f t="shared" si="32"/>
        <v>51</v>
      </c>
      <c r="H353" s="14" t="str">
        <f t="shared" si="33"/>
        <v>7:48</v>
      </c>
      <c r="I353" s="14">
        <f t="shared" si="29"/>
        <v>0</v>
      </c>
      <c r="J353" s="8">
        <f t="shared" si="30"/>
        <v>0</v>
      </c>
    </row>
    <row r="354" spans="1:10" x14ac:dyDescent="0.25">
      <c r="A354" s="3">
        <v>41991</v>
      </c>
      <c r="B354" s="13" t="str">
        <f t="shared" si="31"/>
        <v>Wed</v>
      </c>
      <c r="C354" s="7">
        <f t="shared" si="32"/>
        <v>51</v>
      </c>
      <c r="H354" s="14" t="str">
        <f t="shared" si="33"/>
        <v>7:48</v>
      </c>
      <c r="I354" s="14">
        <f t="shared" si="29"/>
        <v>0</v>
      </c>
      <c r="J354" s="8">
        <f t="shared" si="30"/>
        <v>0</v>
      </c>
    </row>
    <row r="355" spans="1:10" x14ac:dyDescent="0.25">
      <c r="A355" s="3">
        <v>41992</v>
      </c>
      <c r="B355" s="13" t="str">
        <f t="shared" si="31"/>
        <v>Thu</v>
      </c>
      <c r="C355" s="7">
        <f t="shared" si="32"/>
        <v>51</v>
      </c>
      <c r="H355" s="14" t="str">
        <f t="shared" si="33"/>
        <v>7:48</v>
      </c>
      <c r="I355" s="14">
        <f t="shared" si="29"/>
        <v>0</v>
      </c>
      <c r="J355" s="8">
        <f t="shared" si="30"/>
        <v>0</v>
      </c>
    </row>
    <row r="356" spans="1:10" x14ac:dyDescent="0.25">
      <c r="A356" s="3">
        <v>41993</v>
      </c>
      <c r="B356" s="13" t="str">
        <f t="shared" si="31"/>
        <v>Fri</v>
      </c>
      <c r="C356" s="7">
        <f t="shared" si="32"/>
        <v>51</v>
      </c>
      <c r="H356" s="14" t="str">
        <f t="shared" si="33"/>
        <v>7:48</v>
      </c>
      <c r="I356" s="14">
        <f t="shared" si="29"/>
        <v>0</v>
      </c>
      <c r="J356" s="8">
        <f t="shared" si="30"/>
        <v>0</v>
      </c>
    </row>
    <row r="357" spans="1:10" x14ac:dyDescent="0.25">
      <c r="A357" s="3">
        <v>41994</v>
      </c>
      <c r="B357" s="13" t="str">
        <f t="shared" si="31"/>
        <v>Sat</v>
      </c>
      <c r="C357" s="7">
        <f t="shared" si="32"/>
        <v>51</v>
      </c>
      <c r="H357" s="14" t="str">
        <f t="shared" si="33"/>
        <v>0:00</v>
      </c>
      <c r="I357" s="14">
        <f t="shared" si="29"/>
        <v>0</v>
      </c>
      <c r="J357" s="8">
        <f t="shared" si="30"/>
        <v>0</v>
      </c>
    </row>
    <row r="358" spans="1:10" x14ac:dyDescent="0.25">
      <c r="A358" s="3">
        <v>41995</v>
      </c>
      <c r="B358" s="13" t="str">
        <f t="shared" si="31"/>
        <v>Sun</v>
      </c>
      <c r="C358" s="7">
        <f t="shared" si="32"/>
        <v>51</v>
      </c>
      <c r="H358" s="14" t="str">
        <f t="shared" si="33"/>
        <v>0:00</v>
      </c>
      <c r="I358" s="14">
        <f t="shared" si="29"/>
        <v>0</v>
      </c>
      <c r="J358" s="8">
        <f t="shared" si="30"/>
        <v>0</v>
      </c>
    </row>
    <row r="359" spans="1:10" x14ac:dyDescent="0.25">
      <c r="A359" s="3">
        <v>41996</v>
      </c>
      <c r="B359" s="13" t="str">
        <f t="shared" si="31"/>
        <v>Mon</v>
      </c>
      <c r="C359" s="7">
        <f t="shared" si="32"/>
        <v>52</v>
      </c>
      <c r="H359" s="14" t="str">
        <f t="shared" si="33"/>
        <v>7:48</v>
      </c>
      <c r="I359" s="14">
        <f t="shared" si="29"/>
        <v>0</v>
      </c>
      <c r="J359" s="8">
        <f t="shared" si="30"/>
        <v>0</v>
      </c>
    </row>
    <row r="360" spans="1:10" x14ac:dyDescent="0.25">
      <c r="A360" s="3">
        <v>41997</v>
      </c>
      <c r="B360" s="13" t="str">
        <f t="shared" si="31"/>
        <v>Tue</v>
      </c>
      <c r="C360" s="7">
        <f t="shared" si="32"/>
        <v>52</v>
      </c>
      <c r="H360" s="14" t="str">
        <f t="shared" si="33"/>
        <v>7:48</v>
      </c>
      <c r="I360" s="14">
        <f t="shared" si="29"/>
        <v>0</v>
      </c>
      <c r="J360" s="8">
        <f t="shared" si="30"/>
        <v>0</v>
      </c>
    </row>
    <row r="361" spans="1:10" x14ac:dyDescent="0.25">
      <c r="A361" s="3">
        <v>41998</v>
      </c>
      <c r="B361" s="13" t="str">
        <f t="shared" si="31"/>
        <v>Wed</v>
      </c>
      <c r="C361" s="7">
        <f t="shared" si="32"/>
        <v>52</v>
      </c>
      <c r="H361" s="14" t="str">
        <f t="shared" si="33"/>
        <v>7:48</v>
      </c>
      <c r="I361" s="14">
        <f t="shared" si="29"/>
        <v>0</v>
      </c>
      <c r="J361" s="8">
        <f t="shared" si="30"/>
        <v>0</v>
      </c>
    </row>
    <row r="362" spans="1:10" x14ac:dyDescent="0.25">
      <c r="A362" s="3">
        <v>41999</v>
      </c>
      <c r="B362" s="13" t="str">
        <f t="shared" si="31"/>
        <v>Thu</v>
      </c>
      <c r="C362" s="7">
        <f t="shared" si="32"/>
        <v>52</v>
      </c>
      <c r="H362" s="14" t="str">
        <f t="shared" si="33"/>
        <v>7:48</v>
      </c>
      <c r="I362" s="14">
        <f t="shared" si="29"/>
        <v>0</v>
      </c>
      <c r="J362" s="8">
        <f t="shared" si="30"/>
        <v>0</v>
      </c>
    </row>
    <row r="363" spans="1:10" x14ac:dyDescent="0.25">
      <c r="A363" s="3">
        <v>42000</v>
      </c>
      <c r="B363" s="13" t="str">
        <f t="shared" si="31"/>
        <v>Fri</v>
      </c>
      <c r="C363" s="7">
        <f t="shared" si="32"/>
        <v>52</v>
      </c>
      <c r="H363" s="14" t="str">
        <f t="shared" si="33"/>
        <v>7:48</v>
      </c>
      <c r="I363" s="14">
        <f t="shared" si="29"/>
        <v>0</v>
      </c>
      <c r="J363" s="8">
        <f t="shared" si="30"/>
        <v>0</v>
      </c>
    </row>
    <row r="364" spans="1:10" x14ac:dyDescent="0.25">
      <c r="A364" s="3">
        <v>42001</v>
      </c>
      <c r="B364" s="13" t="str">
        <f t="shared" si="31"/>
        <v>Sat</v>
      </c>
      <c r="C364" s="7">
        <f t="shared" si="32"/>
        <v>52</v>
      </c>
      <c r="H364" s="14" t="str">
        <f t="shared" si="33"/>
        <v>0:00</v>
      </c>
      <c r="I364" s="14">
        <f t="shared" si="29"/>
        <v>0</v>
      </c>
      <c r="J364" s="8">
        <f t="shared" si="30"/>
        <v>0</v>
      </c>
    </row>
    <row r="365" spans="1:10" x14ac:dyDescent="0.25">
      <c r="A365" s="3">
        <v>42002</v>
      </c>
      <c r="B365" s="13" t="str">
        <f t="shared" si="31"/>
        <v>Sun</v>
      </c>
      <c r="C365" s="7">
        <f t="shared" si="32"/>
        <v>52</v>
      </c>
      <c r="H365" s="14" t="str">
        <f t="shared" si="33"/>
        <v>0:00</v>
      </c>
      <c r="I365" s="14">
        <f t="shared" si="29"/>
        <v>0</v>
      </c>
      <c r="J365" s="8">
        <f t="shared" si="30"/>
        <v>0</v>
      </c>
    </row>
    <row r="366" spans="1:10" x14ac:dyDescent="0.25">
      <c r="A366" s="3">
        <v>42003</v>
      </c>
      <c r="B366" s="13" t="str">
        <f t="shared" si="31"/>
        <v>Mon</v>
      </c>
      <c r="C366" s="7">
        <f t="shared" si="32"/>
        <v>1</v>
      </c>
      <c r="H366" s="14" t="str">
        <f t="shared" si="33"/>
        <v>7:48</v>
      </c>
      <c r="I366" s="14">
        <f t="shared" si="29"/>
        <v>0</v>
      </c>
      <c r="J366" s="8">
        <f t="shared" si="30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8" priority="524" operator="containsText" text="Mitfahrer">
      <formula>NOT(ISERROR(SEARCH("Mitfahrer",E1)))</formula>
    </cfRule>
    <cfRule type="containsText" dxfId="7" priority="525" operator="containsText" text="Fahrer">
      <formula>NOT(ISERROR(SEARCH("Fahrer",E1)))</formula>
    </cfRule>
    <cfRule type="containsText" dxfId="6" priority="526" operator="containsText" text="nicht dabei">
      <formula>NOT(ISERROR(SEARCH("nicht dabei",E1)))</formula>
    </cfRule>
  </conditionalFormatting>
  <conditionalFormatting sqref="C1:I1">
    <cfRule type="expression" dxfId="5" priority="6">
      <formula>WEEKDAY(#REF!,2)&gt;5</formula>
    </cfRule>
  </conditionalFormatting>
  <conditionalFormatting sqref="A1:XFD1048576">
    <cfRule type="expression" dxfId="4" priority="3">
      <formula>WEEKDAY($A1,2)&gt;5</formula>
    </cfRule>
  </conditionalFormatting>
  <conditionalFormatting sqref="J2:J366">
    <cfRule type="cellIs" dxfId="3" priority="2" operator="greaterThan">
      <formula>0</formula>
    </cfRule>
    <cfRule type="cellIs" dxfId="2" priority="1" operator="lessThan">
      <formula>0</formula>
    </cfRule>
  </conditionalFormatting>
  <dataValidations count="2">
    <dataValidation type="time" allowBlank="1" showInputMessage="1" showErrorMessage="1" sqref="E2:F1048576" xr:uid="{9EEB34B1-E48F-4C03-8C5B-7ABBA45FFB7A}">
      <formula1>0.25</formula1>
      <formula2>0.833333333333333</formula2>
    </dataValidation>
    <dataValidation type="list" allowBlank="1" showInputMessage="1" showErrorMessage="1" sqref="D2:D366" xr:uid="{C8FFF2C0-251E-4428-81F7-D2F06656086F}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7F8E1-AE29-44A3-A777-0E5A948A9D7E}">
  <sheetPr codeName="Sheet2">
    <tabColor rgb="FFFFC000"/>
    <pageSetUpPr fitToPage="1"/>
  </sheetPr>
  <dimension ref="A1:G11"/>
  <sheetViews>
    <sheetView workbookViewId="0"/>
  </sheetViews>
  <sheetFormatPr defaultRowHeight="15" x14ac:dyDescent="0.25"/>
  <cols>
    <col min="1" max="1" width="27.140625" bestFit="1" customWidth="1"/>
    <col min="2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7" ht="57" customHeight="1" x14ac:dyDescent="0.25"/>
    <row r="3" spans="1:7" x14ac:dyDescent="0.25">
      <c r="A3" s="24"/>
      <c r="B3" s="23" t="s">
        <v>9</v>
      </c>
      <c r="C3" s="24"/>
      <c r="D3" s="24"/>
      <c r="E3" s="24"/>
      <c r="F3" s="24"/>
      <c r="G3" s="24"/>
    </row>
    <row r="4" spans="1:7" x14ac:dyDescent="0.25">
      <c r="A4" s="24"/>
      <c r="B4" s="25" t="s">
        <v>16</v>
      </c>
      <c r="C4" s="26"/>
      <c r="D4" s="25" t="s">
        <v>18</v>
      </c>
      <c r="E4" s="26"/>
      <c r="F4" s="25" t="s">
        <v>25</v>
      </c>
      <c r="G4" s="25" t="s">
        <v>26</v>
      </c>
    </row>
    <row r="5" spans="1:7" x14ac:dyDescent="0.25">
      <c r="A5" s="24"/>
      <c r="B5" s="25" t="s">
        <v>20</v>
      </c>
      <c r="C5" s="25" t="s">
        <v>29</v>
      </c>
      <c r="D5" s="25" t="s">
        <v>20</v>
      </c>
      <c r="E5" s="25" t="s">
        <v>29</v>
      </c>
      <c r="F5" s="26"/>
      <c r="G5" s="26"/>
    </row>
    <row r="6" spans="1:7" x14ac:dyDescent="0.25">
      <c r="A6" s="23" t="s">
        <v>28</v>
      </c>
      <c r="B6" s="26"/>
      <c r="C6" s="26"/>
      <c r="D6" s="26"/>
      <c r="E6" s="26"/>
      <c r="F6" s="26"/>
      <c r="G6" s="26"/>
    </row>
    <row r="7" spans="1:7" x14ac:dyDescent="0.25">
      <c r="A7" s="11" t="s">
        <v>15</v>
      </c>
      <c r="B7" s="12">
        <v>3.4874999999999998</v>
      </c>
      <c r="C7" s="12">
        <v>0</v>
      </c>
      <c r="D7" s="12">
        <v>0.5625</v>
      </c>
      <c r="E7" s="12">
        <v>0</v>
      </c>
      <c r="F7" s="12">
        <v>3.4874999999999998</v>
      </c>
      <c r="G7" s="12">
        <v>0.5625</v>
      </c>
    </row>
    <row r="8" spans="1:7" x14ac:dyDescent="0.25">
      <c r="A8" s="22">
        <v>37</v>
      </c>
      <c r="B8" s="12">
        <v>1.5666666666666667</v>
      </c>
      <c r="C8" s="12">
        <v>0</v>
      </c>
      <c r="D8" s="12">
        <v>0.26666666666666666</v>
      </c>
      <c r="E8" s="12">
        <v>0</v>
      </c>
      <c r="F8" s="12">
        <v>1.5666666666666667</v>
      </c>
      <c r="G8" s="12">
        <v>0.26666666666666666</v>
      </c>
    </row>
    <row r="9" spans="1:7" x14ac:dyDescent="0.25">
      <c r="A9" s="22">
        <v>38</v>
      </c>
      <c r="B9" s="12">
        <v>0.27499999999999997</v>
      </c>
      <c r="C9" s="12">
        <v>0</v>
      </c>
      <c r="D9" s="12">
        <v>-5.0000000000000044E-2</v>
      </c>
      <c r="E9" s="12">
        <v>0</v>
      </c>
      <c r="F9" s="12">
        <v>0.27499999999999997</v>
      </c>
      <c r="G9" s="12">
        <v>-5.0000000000000044E-2</v>
      </c>
    </row>
    <row r="10" spans="1:7" x14ac:dyDescent="0.25">
      <c r="A10" s="22">
        <v>39</v>
      </c>
      <c r="B10" s="12">
        <v>1.6458333333333335</v>
      </c>
      <c r="C10" s="12">
        <v>0</v>
      </c>
      <c r="D10" s="12">
        <v>0.34583333333333333</v>
      </c>
      <c r="E10" s="12">
        <v>0</v>
      </c>
      <c r="F10" s="12">
        <v>1.6458333333333335</v>
      </c>
      <c r="G10" s="12">
        <v>0.34583333333333333</v>
      </c>
    </row>
    <row r="11" spans="1:7" x14ac:dyDescent="0.25">
      <c r="A11" s="11" t="s">
        <v>27</v>
      </c>
      <c r="B11" s="12">
        <v>3.4874999999999998</v>
      </c>
      <c r="C11" s="12">
        <v>0</v>
      </c>
      <c r="D11" s="12">
        <v>0.5625</v>
      </c>
      <c r="E11" s="12">
        <v>0</v>
      </c>
      <c r="F11" s="12">
        <v>3.4874999999999998</v>
      </c>
      <c r="G11" s="12">
        <v>0.5625</v>
      </c>
    </row>
  </sheetData>
  <sheetProtection sheet="1" objects="1" scenarios="1"/>
  <mergeCells count="8">
    <mergeCell ref="B4:C4"/>
    <mergeCell ref="D4:E4"/>
    <mergeCell ref="F4:F6"/>
    <mergeCell ref="G4:G6"/>
    <mergeCell ref="B5:B6"/>
    <mergeCell ref="C5:C6"/>
    <mergeCell ref="D5:D6"/>
    <mergeCell ref="E5:E6"/>
  </mergeCell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workbookViewId="0">
      <selection activeCell="B1" sqref="B1"/>
    </sheetView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23</v>
      </c>
      <c r="B1" s="1" t="s">
        <v>9</v>
      </c>
    </row>
    <row r="2" spans="1:2" x14ac:dyDescent="0.25">
      <c r="A2" s="9" t="s">
        <v>5</v>
      </c>
      <c r="B2" t="s">
        <v>20</v>
      </c>
    </row>
    <row r="3" spans="1:2" x14ac:dyDescent="0.25">
      <c r="A3" t="s">
        <v>2</v>
      </c>
      <c r="B3" t="s">
        <v>19</v>
      </c>
    </row>
    <row r="4" spans="1:2" x14ac:dyDescent="0.25">
      <c r="A4" t="s">
        <v>6</v>
      </c>
      <c r="B4" t="s">
        <v>24</v>
      </c>
    </row>
    <row r="5" spans="1:2" x14ac:dyDescent="0.25">
      <c r="A5" t="s">
        <v>3</v>
      </c>
      <c r="B5" t="s">
        <v>21</v>
      </c>
    </row>
    <row r="6" spans="1:2" x14ac:dyDescent="0.25">
      <c r="A6" t="s">
        <v>4</v>
      </c>
      <c r="B6" t="s">
        <v>22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Overview</vt:lpstr>
      <vt:lpstr>Internal</vt:lpstr>
      <vt:lpstr>all_types</vt:lpstr>
      <vt:lpstr>nonprod_types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Christoph</cp:lastModifiedBy>
  <cp:lastPrinted>2018-09-24T20:47:32Z</cp:lastPrinted>
  <dcterms:created xsi:type="dcterms:W3CDTF">2017-03-01T18:57:58Z</dcterms:created>
  <dcterms:modified xsi:type="dcterms:W3CDTF">2018-10-08T05:59:21Z</dcterms:modified>
</cp:coreProperties>
</file>