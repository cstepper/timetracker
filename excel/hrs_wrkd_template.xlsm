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_src\dailyhelpers\timetracker\excel\"/>
    </mc:Choice>
  </mc:AlternateContent>
  <xr:revisionPtr revIDLastSave="0" documentId="13_ncr:1_{AF89DE10-2334-4F81-93CF-CF6F1B7C264B}" xr6:coauthVersionLast="38" xr6:coauthVersionMax="38" xr10:uidLastSave="{00000000-0000-0000-0000-000000000000}"/>
  <bookViews>
    <workbookView xWindow="0" yWindow="0" windowWidth="11610" windowHeight="7500" xr2:uid="{00000000-000D-0000-FFFF-FFFF00000000}"/>
  </bookViews>
  <sheets>
    <sheet name="Input" sheetId="1" r:id="rId1"/>
    <sheet name="Overview" sheetId="8" r:id="rId2"/>
    <sheet name="Internal" sheetId="4" state="hidden" r:id="rId3"/>
  </sheets>
  <definedNames>
    <definedName name="_xlnm._FilterDatabase" localSheetId="0" hidden="1">Input!$C$1:$K$366</definedName>
    <definedName name="all_types">Internal!$B$2:$B$6</definedName>
    <definedName name="nonprod_types">Internal!$B$3:$B$6</definedName>
    <definedName name="timeaway_types">Internal!$B$4:$B$6</definedName>
  </definedNames>
  <calcPr calcId="179021"/>
  <pivotCaches>
    <pivotCache cacheId="3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3" i="1" l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11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11" i="1"/>
  <c r="I2" i="1" l="1"/>
  <c r="I3" i="1"/>
  <c r="I4" i="1"/>
  <c r="I5" i="1"/>
  <c r="I6" i="1"/>
  <c r="I7" i="1"/>
  <c r="I8" i="1"/>
  <c r="I9" i="1"/>
  <c r="I10" i="1"/>
  <c r="I11" i="1"/>
  <c r="I12" i="1"/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60" i="1"/>
  <c r="J261" i="1"/>
  <c r="J266" i="1"/>
  <c r="J267" i="1"/>
  <c r="J273" i="1"/>
  <c r="J274" i="1"/>
  <c r="J275" i="1"/>
  <c r="J276" i="1"/>
  <c r="J277" i="1"/>
  <c r="J278" i="1"/>
  <c r="J279" i="1"/>
  <c r="J280" i="1"/>
  <c r="J281" i="1"/>
  <c r="J282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259" i="1"/>
  <c r="C268" i="1"/>
  <c r="J258" i="1" l="1"/>
  <c r="J262" i="1"/>
  <c r="J263" i="1"/>
  <c r="J264" i="1"/>
  <c r="J265" i="1"/>
  <c r="J269" i="1"/>
  <c r="J270" i="1"/>
  <c r="J271" i="1"/>
  <c r="J272" i="1"/>
  <c r="J283" i="1"/>
  <c r="B2" i="1"/>
  <c r="C2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268" i="1"/>
  <c r="J268" i="1"/>
</calcChain>
</file>

<file path=xl/sharedStrings.xml><?xml version="1.0" encoding="utf-8"?>
<sst xmlns="http://schemas.openxmlformats.org/spreadsheetml/2006/main" count="39" uniqueCount="38">
  <si>
    <t>Start</t>
  </si>
  <si>
    <t>+/-</t>
  </si>
  <si>
    <t>Gleittag</t>
  </si>
  <si>
    <t>Urlaub</t>
  </si>
  <si>
    <t>Krank</t>
  </si>
  <si>
    <t>Arbeit</t>
  </si>
  <si>
    <t>Feiertag</t>
  </si>
  <si>
    <t>Date</t>
  </si>
  <si>
    <t>Day</t>
  </si>
  <si>
    <t>Type</t>
  </si>
  <si>
    <t>End</t>
  </si>
  <si>
    <t>Break</t>
  </si>
  <si>
    <t>Note</t>
  </si>
  <si>
    <t>SCHEDULED working hours</t>
  </si>
  <si>
    <t>ACTUAL working hours</t>
  </si>
  <si>
    <t>Week</t>
  </si>
  <si>
    <t>flexday</t>
  </si>
  <si>
    <t>work</t>
  </si>
  <si>
    <t>holiday</t>
  </si>
  <si>
    <t>sick</t>
  </si>
  <si>
    <t>Typ</t>
  </si>
  <si>
    <t>public</t>
  </si>
  <si>
    <t>Year Total</t>
  </si>
  <si>
    <t>Month / Calender Week</t>
  </si>
  <si>
    <t>Sum of ACTUAL working hours</t>
  </si>
  <si>
    <t>Sum of +/-</t>
  </si>
  <si>
    <t>Jan</t>
  </si>
  <si>
    <t>Feb</t>
  </si>
  <si>
    <t>Apr</t>
  </si>
  <si>
    <t>Jun</t>
  </si>
  <si>
    <t>Jul</t>
  </si>
  <si>
    <t>Aug</t>
  </si>
  <si>
    <t>Sep</t>
  </si>
  <si>
    <t>Nov</t>
  </si>
  <si>
    <t>Mrz</t>
  </si>
  <si>
    <t>Mai</t>
  </si>
  <si>
    <t>Okt</t>
  </si>
  <si>
    <t>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</si>
</sst>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"/>
    <numFmt numFmtId="166" formatCode="&quot;ddd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</font>
    <font>
      <b/>
      <sz val="11"/>
      <color rgb="FF993300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3" fillId="0" borderId="0" xfId="0" applyFont="1" applyFill="1"/>
    <xf numFmtId="14" fontId="4" fillId="0" borderId="0" xfId="0" applyNumberFormat="1" applyFont="1" applyFill="1"/>
    <xf numFmtId="0" fontId="4" fillId="0" borderId="0" xfId="0" applyFont="1" applyFill="1"/>
    <xf numFmtId="22" fontId="3" fillId="0" borderId="0" xfId="0" applyNumberFormat="1" applyFont="1" applyFill="1"/>
    <xf numFmtId="164" fontId="4" fillId="0" borderId="0" xfId="0" applyNumberFormat="1" applyFont="1" applyFill="1"/>
    <xf numFmtId="0" fontId="0" fillId="0" borderId="0" xfId="0" applyFont="1" applyFill="1"/>
    <xf numFmtId="165" fontId="4" fillId="0" borderId="0" xfId="0" applyNumberFormat="1" applyFont="1" applyFill="1"/>
    <xf numFmtId="0" fontId="0" fillId="0" borderId="0" xfId="0" applyFont="1"/>
    <xf numFmtId="165" fontId="0" fillId="0" borderId="0" xfId="0" applyNumberFormat="1" applyFont="1" applyFill="1"/>
    <xf numFmtId="0" fontId="0" fillId="0" borderId="0" xfId="0" applyAlignment="1">
      <alignment horizontal="left"/>
    </xf>
    <xf numFmtId="166" fontId="4" fillId="0" borderId="0" xfId="0" applyNumberFormat="1" applyFont="1" applyFill="1"/>
    <xf numFmtId="0" fontId="1" fillId="0" borderId="0" xfId="0" applyFont="1" applyFill="1" applyAlignment="1">
      <alignment horizontal="left"/>
    </xf>
    <xf numFmtId="166" fontId="1" fillId="0" borderId="0" xfId="0" applyNumberFormat="1" applyFont="1" applyFill="1" applyAlignment="1">
      <alignment horizontal="left"/>
    </xf>
    <xf numFmtId="165" fontId="1" fillId="0" borderId="0" xfId="0" quotePrefix="1" applyNumberFormat="1" applyFont="1" applyFill="1" applyAlignment="1">
      <alignment horizontal="left"/>
    </xf>
    <xf numFmtId="164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/>
    </xf>
    <xf numFmtId="22" fontId="1" fillId="0" borderId="0" xfId="0" applyNumberFormat="1" applyFont="1" applyFill="1" applyAlignment="1">
      <alignment horizontal="left"/>
    </xf>
    <xf numFmtId="0" fontId="0" fillId="0" borderId="0" xfId="0" pivotButton="1" applyAlignment="1">
      <alignment horizontal="left"/>
    </xf>
    <xf numFmtId="0" fontId="0" fillId="0" borderId="0" xfId="0" applyAlignment="1">
      <alignment horizontal="center"/>
    </xf>
    <xf numFmtId="2" fontId="1" fillId="0" borderId="0" xfId="0" applyNumberFormat="1" applyFont="1" applyFill="1" applyAlignment="1">
      <alignment horizontal="left" wrapText="1"/>
    </xf>
    <xf numFmtId="2" fontId="4" fillId="0" borderId="0" xfId="0" applyNumberFormat="1" applyFont="1" applyFill="1" applyAlignment="1">
      <alignment horizontal="right"/>
    </xf>
    <xf numFmtId="2" fontId="1" fillId="0" borderId="0" xfId="0" quotePrefix="1" applyNumberFormat="1" applyFont="1" applyFill="1" applyAlignment="1">
      <alignment horizontal="left"/>
    </xf>
    <xf numFmtId="2" fontId="4" fillId="0" borderId="0" xfId="0" applyNumberFormat="1" applyFont="1" applyFill="1"/>
    <xf numFmtId="2" fontId="0" fillId="0" borderId="0" xfId="0" applyNumberFormat="1"/>
  </cellXfs>
  <cellStyles count="1">
    <cellStyle name="Normal" xfId="0" builtinId="0"/>
  </cellStyles>
  <dxfs count="15">
    <dxf>
      <alignment horizontal="left"/>
    </dxf>
    <dxf>
      <alignment horizontal="left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left"/>
    </dxf>
    <dxf>
      <alignment horizontal="left"/>
    </dxf>
    <dxf>
      <font>
        <color rgb="FF9C0006"/>
      </font>
      <fill>
        <patternFill>
          <bgColor rgb="FFFF5050"/>
        </patternFill>
      </fill>
    </dxf>
    <dxf>
      <font>
        <color rgb="FF9C0006"/>
      </font>
      <fill>
        <patternFill>
          <bgColor rgb="FF66FF66"/>
        </patternFill>
      </fill>
    </dxf>
    <dxf>
      <fill>
        <patternFill>
          <bgColor rgb="FFFFFF66"/>
        </patternFill>
      </fill>
    </dxf>
    <dxf>
      <fill>
        <patternFill>
          <bgColor rgb="FFFFC000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5050"/>
      <color rgb="FF66FF66"/>
      <color rgb="FF33CC33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2</xdr:col>
          <xdr:colOff>304800</xdr:colOff>
          <xdr:row>0</xdr:row>
          <xdr:rowOff>504825</xdr:rowOff>
        </xdr:to>
        <xdr:sp macro="" textlink="">
          <xdr:nvSpPr>
            <xdr:cNvPr id="1032" name="Today" descr="Jump to To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</a:rPr>
                <a:t>Jump to 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76200</xdr:rowOff>
        </xdr:from>
        <xdr:to>
          <xdr:col>5</xdr:col>
          <xdr:colOff>333375</xdr:colOff>
          <xdr:row>0</xdr:row>
          <xdr:rowOff>504825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FF"/>
                  </a:solidFill>
                  <a:latin typeface="Calibri"/>
                </a:rPr>
                <a:t>Start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76200</xdr:rowOff>
        </xdr:from>
        <xdr:to>
          <xdr:col>7</xdr:col>
          <xdr:colOff>180975</xdr:colOff>
          <xdr:row>0</xdr:row>
          <xdr:rowOff>504825</xdr:rowOff>
        </xdr:to>
        <xdr:sp macro="" textlink="">
          <xdr:nvSpPr>
            <xdr:cNvPr id="1035" name="Button 11" descr="TODAY: End Work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993300"/>
                  </a:solidFill>
                  <a:latin typeface="Calibri"/>
                </a:rPr>
                <a:t>End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0</xdr:row>
          <xdr:rowOff>76200</xdr:rowOff>
        </xdr:from>
        <xdr:to>
          <xdr:col>7</xdr:col>
          <xdr:colOff>990600</xdr:colOff>
          <xdr:row>0</xdr:row>
          <xdr:rowOff>504825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Break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0</xdr:row>
          <xdr:rowOff>76200</xdr:rowOff>
        </xdr:from>
        <xdr:to>
          <xdr:col>4</xdr:col>
          <xdr:colOff>28575</xdr:colOff>
          <xdr:row>0</xdr:row>
          <xdr:rowOff>504825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Choose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10</xdr:col>
          <xdr:colOff>9525</xdr:colOff>
          <xdr:row>0</xdr:row>
          <xdr:rowOff>504825</xdr:rowOff>
        </xdr:to>
        <xdr:sp macro="" textlink="">
          <xdr:nvSpPr>
            <xdr:cNvPr id="1046" name="Button 22" descr="Goto OVERVIEW&#10;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</a:rPr>
                <a:t>Go to OVERVIEW</a:t>
              </a:r>
            </a:p>
            <a:p>
              <a:pPr algn="ctr" rtl="0">
                <a:defRPr sz="1000"/>
              </a:pPr>
              <a:endParaRPr lang="de-DE" sz="1400" b="1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133350</xdr:rowOff>
        </xdr:from>
        <xdr:to>
          <xdr:col>6</xdr:col>
          <xdr:colOff>647700</xdr:colOff>
          <xdr:row>0</xdr:row>
          <xdr:rowOff>561975</xdr:rowOff>
        </xdr:to>
        <xdr:sp macro="" textlink="">
          <xdr:nvSpPr>
            <xdr:cNvPr id="2051" name="Button 3" descr="Go To INPU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</a:rPr>
                <a:t>Go to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hristoph" refreshedDate="41948.854906597226" createdVersion="6" refreshedVersion="6" minRefreshableVersion="3" recordCount="365" xr:uid="{00000000-000A-0000-FFFF-FFFF15000000}">
  <cacheSource type="worksheet">
    <worksheetSource ref="A1:K366" sheet="Input"/>
  </cacheSource>
  <cacheFields count="13">
    <cacheField name="Date" numFmtId="14">
      <sharedItems containsSemiMixedTypes="0" containsNonDate="0" containsDate="1" containsString="0" minDate="2018-01-01T00:00:00" maxDate="2019-01-01T00:00:00" count="365"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</sharedItems>
      <fieldGroup par="11" base="0">
        <rangePr groupBy="days" startDate="2018-01-01T00:00:00" endDate="2019-01-01T00:00:00"/>
        <groupItems count="368">
          <s v="&lt;01.01.2018"/>
          <s v="02. Jan"/>
          <s v="03. Jan"/>
          <s v="04. Jan"/>
          <s v="05. Jan"/>
          <s v="06. Jan"/>
          <s v="07. Jan"/>
          <s v="08. Jan"/>
          <s v="09. Jan"/>
          <s v="10. Jan"/>
          <s v="11. Jan"/>
          <s v="12. Jan"/>
          <s v="13. Jan"/>
          <s v="14. Jan"/>
          <s v="15. Jan"/>
          <s v="16. Jan"/>
          <s v="17. Jan"/>
          <s v="18. Jan"/>
          <s v="19. Jan"/>
          <s v="20. Jan"/>
          <s v="21. Jan"/>
          <s v="22. Jan"/>
          <s v="23. Jan"/>
          <s v="24. Jan"/>
          <s v="25. Jan"/>
          <s v="26. Jan"/>
          <s v="27. Jan"/>
          <s v="28. Jan"/>
          <s v="29. Jan"/>
          <s v="30. Jan"/>
          <s v="31. Jan"/>
          <s v="01. Feb"/>
          <s v="02. Feb"/>
          <s v="03. Feb"/>
          <s v="04. Feb"/>
          <s v="05. Feb"/>
          <s v="06. Feb"/>
          <s v="07. Feb"/>
          <s v="08. Feb"/>
          <s v="09. Feb"/>
          <s v="10. Feb"/>
          <s v="11. Feb"/>
          <s v="12. Feb"/>
          <s v="13. Feb"/>
          <s v="14. Feb"/>
          <s v="15. Feb"/>
          <s v="16. Feb"/>
          <s v="17. Feb"/>
          <s v="18. Feb"/>
          <s v="19. Feb"/>
          <s v="20. Feb"/>
          <s v="21. Feb"/>
          <s v="22. Feb"/>
          <s v="23. Feb"/>
          <s v="24. Feb"/>
          <s v="25. Feb"/>
          <s v="26. Feb"/>
          <s v="27. Feb"/>
          <s v="28. Feb"/>
          <s v="29. Feb"/>
          <s v="01. Mrz"/>
          <s v="02. Mrz"/>
          <s v="03. Mrz"/>
          <s v="04. Mrz"/>
          <s v="05. Mrz"/>
          <s v="06. Mrz"/>
          <s v="07. Mrz"/>
          <s v="08. Mrz"/>
          <s v="09. Mrz"/>
          <s v="10. Mrz"/>
          <s v="11. Mrz"/>
          <s v="12. Mrz"/>
          <s v="13. Mrz"/>
          <s v="14. Mrz"/>
          <s v="15. Mrz"/>
          <s v="16. Mrz"/>
          <s v="17. Mrz"/>
          <s v="18. Mrz"/>
          <s v="19. Mrz"/>
          <s v="20. Mrz"/>
          <s v="21. Mrz"/>
          <s v="22. Mrz"/>
          <s v="23. Mrz"/>
          <s v="24. Mrz"/>
          <s v="25. Mrz"/>
          <s v="26. Mrz"/>
          <s v="27. Mrz"/>
          <s v="28. Mrz"/>
          <s v="29. Mrz"/>
          <s v="30. Mrz"/>
          <s v="31. Mrz"/>
          <s v="01. Apr"/>
          <s v="02. Apr"/>
          <s v="03. Apr"/>
          <s v="04. Apr"/>
          <s v="05. Apr"/>
          <s v="06. Apr"/>
          <s v="07. Apr"/>
          <s v="08. Apr"/>
          <s v="09. Apr"/>
          <s v="10. Apr"/>
          <s v="11. Apr"/>
          <s v="12. Apr"/>
          <s v="13. Apr"/>
          <s v="14. Apr"/>
          <s v="15. Apr"/>
          <s v="16. Apr"/>
          <s v="17. Apr"/>
          <s v="18. Apr"/>
          <s v="19. Apr"/>
          <s v="20. Apr"/>
          <s v="21. Apr"/>
          <s v="22. Apr"/>
          <s v="23. Apr"/>
          <s v="24. Apr"/>
          <s v="25. Apr"/>
          <s v="26. Apr"/>
          <s v="27. Apr"/>
          <s v="28. Apr"/>
          <s v="29. Apr"/>
          <s v="30. Apr"/>
          <s v="01. Mai"/>
          <s v="02. Mai"/>
          <s v="03. Mai"/>
          <s v="04. Mai"/>
          <s v="05. Mai"/>
          <s v="06. Mai"/>
          <s v="07. Mai"/>
          <s v="08. Mai"/>
          <s v="09. Mai"/>
          <s v="10. Mai"/>
          <s v="11. Mai"/>
          <s v="12. Mai"/>
          <s v="13. Mai"/>
          <s v="14. Mai"/>
          <s v="15. Mai"/>
          <s v="16. Mai"/>
          <s v="17. Mai"/>
          <s v="18. Mai"/>
          <s v="19. Mai"/>
          <s v="20. Mai"/>
          <s v="21. Mai"/>
          <s v="22. Mai"/>
          <s v="23. Mai"/>
          <s v="24. Mai"/>
          <s v="25. Mai"/>
          <s v="26. Mai"/>
          <s v="27. Mai"/>
          <s v="28. Mai"/>
          <s v="29. Mai"/>
          <s v="30. Mai"/>
          <s v="31. Mai"/>
          <s v="01. Jun"/>
          <s v="02. Jun"/>
          <s v="03. Jun"/>
          <s v="04. Jun"/>
          <s v="05. Jun"/>
          <s v="06. Jun"/>
          <s v="07. Jun"/>
          <s v="08. Jun"/>
          <s v="09. Jun"/>
          <s v="10. Jun"/>
          <s v="11. Jun"/>
          <s v="12. Jun"/>
          <s v="13. Jun"/>
          <s v="14. Jun"/>
          <s v="15. Jun"/>
          <s v="16. Jun"/>
          <s v="17. Jun"/>
          <s v="18. Jun"/>
          <s v="19. Jun"/>
          <s v="20. Jun"/>
          <s v="21. Jun"/>
          <s v="22. Jun"/>
          <s v="23. Jun"/>
          <s v="24. Jun"/>
          <s v="25. Jun"/>
          <s v="26. Jun"/>
          <s v="27. Jun"/>
          <s v="28. Jun"/>
          <s v="29. Jun"/>
          <s v="30. Jun"/>
          <s v="01. Jul"/>
          <s v="02. Jul"/>
          <s v="03. Jul"/>
          <s v="04. Jul"/>
          <s v="05. Jul"/>
          <s v="06. Jul"/>
          <s v="07. Jul"/>
          <s v="08. Jul"/>
          <s v="09. Jul"/>
          <s v="10. Jul"/>
          <s v="11. Jul"/>
          <s v="12. Jul"/>
          <s v="13. Jul"/>
          <s v="14. Jul"/>
          <s v="15. Jul"/>
          <s v="16. Jul"/>
          <s v="17. Jul"/>
          <s v="18. Jul"/>
          <s v="19. Jul"/>
          <s v="20. Jul"/>
          <s v="21. Jul"/>
          <s v="22. Jul"/>
          <s v="23. Jul"/>
          <s v="24. Jul"/>
          <s v="25. Jul"/>
          <s v="26. Jul"/>
          <s v="27. Jul"/>
          <s v="28. Jul"/>
          <s v="29. Jul"/>
          <s v="30. Jul"/>
          <s v="31. Jul"/>
          <s v="01. Aug"/>
          <s v="02. Aug"/>
          <s v="03. Aug"/>
          <s v="04. Aug"/>
          <s v="05. Aug"/>
          <s v="06. Aug"/>
          <s v="07. Aug"/>
          <s v="08. Aug"/>
          <s v="09. Aug"/>
          <s v="10. Aug"/>
          <s v="11. Aug"/>
          <s v="12. Aug"/>
          <s v="13. Aug"/>
          <s v="14. Aug"/>
          <s v="15. Aug"/>
          <s v="16. Aug"/>
          <s v="17. Aug"/>
          <s v="18. Aug"/>
          <s v="19. Aug"/>
          <s v="20. Aug"/>
          <s v="21. Aug"/>
          <s v="22. Aug"/>
          <s v="23. Aug"/>
          <s v="24. Aug"/>
          <s v="25. Aug"/>
          <s v="26. Aug"/>
          <s v="27. Aug"/>
          <s v="28. Aug"/>
          <s v="29. Aug"/>
          <s v="30. Aug"/>
          <s v="31. Aug"/>
          <s v="01. Sep"/>
          <s v="02. Sep"/>
          <s v="03. Sep"/>
          <s v="04. Sep"/>
          <s v="05. Sep"/>
          <s v="06. Sep"/>
          <s v="07. Sep"/>
          <s v="08. Sep"/>
          <s v="09. Sep"/>
          <s v="10. Sep"/>
          <s v="11. Sep"/>
          <s v="12. Sep"/>
          <s v="13. Sep"/>
          <s v="14. Sep"/>
          <s v="15. Sep"/>
          <s v="16. Sep"/>
          <s v="17. Sep"/>
          <s v="18. Sep"/>
          <s v="19. Sep"/>
          <s v="20. Sep"/>
          <s v="21. Sep"/>
          <s v="22. Sep"/>
          <s v="23. Sep"/>
          <s v="24. Sep"/>
          <s v="25. Sep"/>
          <s v="26. Sep"/>
          <s v="27. Sep"/>
          <s v="28. Sep"/>
          <s v="29. Sep"/>
          <s v="30. Sep"/>
          <s v="01. Okt"/>
          <s v="02. Okt"/>
          <s v="03. Okt"/>
          <s v="04. Okt"/>
          <s v="05. Okt"/>
          <s v="06. Okt"/>
          <s v="07. Okt"/>
          <s v="08. Okt"/>
          <s v="09. Okt"/>
          <s v="10. Okt"/>
          <s v="11. Okt"/>
          <s v="12. Okt"/>
          <s v="13. Okt"/>
          <s v="14. Okt"/>
          <s v="15. Okt"/>
          <s v="16. Okt"/>
          <s v="17. Okt"/>
          <s v="18. Okt"/>
          <s v="19. Okt"/>
          <s v="20. Okt"/>
          <s v="21. Okt"/>
          <s v="22. Okt"/>
          <s v="23. Okt"/>
          <s v="24. Okt"/>
          <s v="25. Okt"/>
          <s v="26. Okt"/>
          <s v="27. Okt"/>
          <s v="28. Okt"/>
          <s v="29. Okt"/>
          <s v="30. Okt"/>
          <s v="31. Okt"/>
          <s v="01. Nov"/>
          <s v="02. Nov"/>
          <s v="03. Nov"/>
          <s v="04. Nov"/>
          <s v="05. Nov"/>
          <s v="06. Nov"/>
          <s v="07. Nov"/>
          <s v="08. Nov"/>
          <s v="09. Nov"/>
          <s v="10. Nov"/>
          <s v="11. Nov"/>
          <s v="12. Nov"/>
          <s v="13. Nov"/>
          <s v="14. Nov"/>
          <s v="15. Nov"/>
          <s v="16. Nov"/>
          <s v="17. Nov"/>
          <s v="18. Nov"/>
          <s v="19. Nov"/>
          <s v="20. Nov"/>
          <s v="21. Nov"/>
          <s v="22. Nov"/>
          <s v="23. Nov"/>
          <s v="24. Nov"/>
          <s v="25. Nov"/>
          <s v="26. Nov"/>
          <s v="27. Nov"/>
          <s v="28. Nov"/>
          <s v="29. Nov"/>
          <s v="30. Nov"/>
          <s v="01. Dez"/>
          <s v="02. Dez"/>
          <s v="03. Dez"/>
          <s v="04. Dez"/>
          <s v="05. Dez"/>
          <s v="06. Dez"/>
          <s v="07. Dez"/>
          <s v="08. Dez"/>
          <s v="09. Dez"/>
          <s v="10. Dez"/>
          <s v="11. Dez"/>
          <s v="12. Dez"/>
          <s v="13. Dez"/>
          <s v="14. Dez"/>
          <s v="15. Dez"/>
          <s v="16. Dez"/>
          <s v="17. Dez"/>
          <s v="18. Dez"/>
          <s v="19. Dez"/>
          <s v="20. Dez"/>
          <s v="21. Dez"/>
          <s v="22. Dez"/>
          <s v="23. Dez"/>
          <s v="24. Dez"/>
          <s v="25. Dez"/>
          <s v="26. Dez"/>
          <s v="27. Dez"/>
          <s v="28. Dez"/>
          <s v="29. Dez"/>
          <s v="30. Dez"/>
          <s v="31. Dez"/>
          <s v="01. Jan"/>
          <s v="&gt;01.01.2019"/>
        </groupItems>
      </fieldGroup>
    </cacheField>
    <cacheField name="Day" numFmtId="166">
      <sharedItems/>
    </cacheField>
    <cacheField name="Week" numFmtId="0">
      <sharedItems containsSemiMixedTypes="0" containsString="0" containsNumber="1" containsInteger="1" minValue="1" maxValue="52" count="5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</sharedItems>
    </cacheField>
    <cacheField name="Type" numFmtId="165">
      <sharedItems containsNonDate="0" containsBlank="1" count="6">
        <m/>
        <s v="public" u="1"/>
        <s v="sick" u="1"/>
        <s v="flexday" u="1"/>
        <s v="holiday" u="1"/>
        <s v="work" u="1"/>
      </sharedItems>
      <fieldGroup par="12"/>
    </cacheField>
    <cacheField name="Start" numFmtId="164">
      <sharedItems containsNonDate="0" containsString="0" containsBlank="1"/>
    </cacheField>
    <cacheField name="End" numFmtId="164">
      <sharedItems containsNonDate="0" containsString="0" containsBlank="1"/>
    </cacheField>
    <cacheField name="Break" numFmtId="165">
      <sharedItems containsNonDate="0" containsString="0" containsBlank="1"/>
    </cacheField>
    <cacheField name="SCHEDULED working hours" numFmtId="2">
      <sharedItems containsSemiMixedTypes="0" containsString="0" containsNumber="1" minValue="0" maxValue="7.8"/>
    </cacheField>
    <cacheField name="ACTUAL working hours" numFmtId="2">
      <sharedItems containsSemiMixedTypes="0" containsString="0" containsNumber="1" containsInteger="1" minValue="0" maxValue="0"/>
    </cacheField>
    <cacheField name="+/-" numFmtId="2">
      <sharedItems containsSemiMixedTypes="0" containsString="0" containsNumber="1" containsInteger="1" minValue="0" maxValue="0"/>
    </cacheField>
    <cacheField name="Note" numFmtId="0">
      <sharedItems containsNonDate="0" containsString="0" containsBlank="1"/>
    </cacheField>
    <cacheField name="Months" numFmtId="0" databaseField="0">
      <fieldGroup base="0">
        <rangePr groupBy="months" startDate="2018-01-01T00:00:00" endDate="2019-01-01T00:00:00"/>
        <groupItems count="14">
          <s v="&lt;01.01.2018"/>
          <s v="Jan"/>
          <s v="Feb"/>
          <s v="Mrz"/>
          <s v="Apr"/>
          <s v="Mai"/>
          <s v="Jun"/>
          <s v="Jul"/>
          <s v="Aug"/>
          <s v="Sep"/>
          <s v="Okt"/>
          <s v="Nov"/>
          <s v="Dez"/>
          <s v="&gt;01.01.2019"/>
        </groupItems>
      </fieldGroup>
    </cacheField>
    <cacheField name="Type2" numFmtId="0" databaseField="0">
      <fieldGroup base="3">
        <discretePr count="6">
          <x v="0"/>
          <x v="2"/>
          <x v="2"/>
          <x v="2"/>
          <x v="2"/>
          <x v="1"/>
        </discretePr>
        <groupItems count="3">
          <m/>
          <s v="work"/>
          <s v="Group1"/>
        </groupItems>
      </fieldGroup>
    </cacheField>
  </cacheFields>
  <extLst>
    <ext xmlns:x14="http://schemas.microsoft.com/office/spreadsheetml/2009/9/main" uri="{725AE2AE-9491-48be-B2B4-4EB974FC3084}">
      <x14:pivotCacheDefinition pivotCacheId="17904901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5">
  <r>
    <x v="0"/>
    <s v="Mon"/>
    <x v="0"/>
    <x v="0"/>
    <m/>
    <m/>
    <m/>
    <n v="7.8"/>
    <n v="0"/>
    <n v="0"/>
    <m/>
  </r>
  <r>
    <x v="1"/>
    <s v="Tue"/>
    <x v="0"/>
    <x v="0"/>
    <m/>
    <m/>
    <m/>
    <n v="7.8"/>
    <n v="0"/>
    <n v="0"/>
    <m/>
  </r>
  <r>
    <x v="2"/>
    <s v="Wed"/>
    <x v="0"/>
    <x v="0"/>
    <m/>
    <m/>
    <m/>
    <n v="7.8"/>
    <n v="0"/>
    <n v="0"/>
    <m/>
  </r>
  <r>
    <x v="3"/>
    <s v="Thu"/>
    <x v="0"/>
    <x v="0"/>
    <m/>
    <m/>
    <m/>
    <n v="7.8"/>
    <n v="0"/>
    <n v="0"/>
    <m/>
  </r>
  <r>
    <x v="4"/>
    <s v="Fri"/>
    <x v="0"/>
    <x v="0"/>
    <m/>
    <m/>
    <m/>
    <n v="7.8"/>
    <n v="0"/>
    <n v="0"/>
    <m/>
  </r>
  <r>
    <x v="5"/>
    <s v="Sat"/>
    <x v="0"/>
    <x v="0"/>
    <m/>
    <m/>
    <m/>
    <n v="0"/>
    <n v="0"/>
    <n v="0"/>
    <m/>
  </r>
  <r>
    <x v="6"/>
    <s v="Sun"/>
    <x v="0"/>
    <x v="0"/>
    <m/>
    <m/>
    <m/>
    <n v="0"/>
    <n v="0"/>
    <n v="0"/>
    <m/>
  </r>
  <r>
    <x v="7"/>
    <s v="Mon"/>
    <x v="1"/>
    <x v="0"/>
    <m/>
    <m/>
    <m/>
    <n v="7.8"/>
    <n v="0"/>
    <n v="0"/>
    <m/>
  </r>
  <r>
    <x v="8"/>
    <s v="Tue"/>
    <x v="1"/>
    <x v="0"/>
    <m/>
    <m/>
    <m/>
    <n v="7.8"/>
    <n v="0"/>
    <n v="0"/>
    <m/>
  </r>
  <r>
    <x v="9"/>
    <s v="Wed"/>
    <x v="1"/>
    <x v="0"/>
    <m/>
    <m/>
    <m/>
    <n v="7.8"/>
    <n v="0"/>
    <n v="0"/>
    <m/>
  </r>
  <r>
    <x v="10"/>
    <s v="Thu"/>
    <x v="1"/>
    <x v="0"/>
    <m/>
    <m/>
    <m/>
    <n v="7.8"/>
    <n v="0"/>
    <n v="0"/>
    <m/>
  </r>
  <r>
    <x v="11"/>
    <s v="Fri"/>
    <x v="1"/>
    <x v="0"/>
    <m/>
    <m/>
    <m/>
    <n v="7.8"/>
    <n v="0"/>
    <n v="0"/>
    <m/>
  </r>
  <r>
    <x v="12"/>
    <s v="Sat"/>
    <x v="1"/>
    <x v="0"/>
    <m/>
    <m/>
    <m/>
    <n v="0"/>
    <n v="0"/>
    <n v="0"/>
    <m/>
  </r>
  <r>
    <x v="13"/>
    <s v="Sun"/>
    <x v="1"/>
    <x v="0"/>
    <m/>
    <m/>
    <m/>
    <n v="0"/>
    <n v="0"/>
    <n v="0"/>
    <m/>
  </r>
  <r>
    <x v="14"/>
    <s v="Mon"/>
    <x v="2"/>
    <x v="0"/>
    <m/>
    <m/>
    <m/>
    <n v="7.8"/>
    <n v="0"/>
    <n v="0"/>
    <m/>
  </r>
  <r>
    <x v="15"/>
    <s v="Tue"/>
    <x v="2"/>
    <x v="0"/>
    <m/>
    <m/>
    <m/>
    <n v="7.8"/>
    <n v="0"/>
    <n v="0"/>
    <m/>
  </r>
  <r>
    <x v="16"/>
    <s v="Wed"/>
    <x v="2"/>
    <x v="0"/>
    <m/>
    <m/>
    <m/>
    <n v="7.8"/>
    <n v="0"/>
    <n v="0"/>
    <m/>
  </r>
  <r>
    <x v="17"/>
    <s v="Thu"/>
    <x v="2"/>
    <x v="0"/>
    <m/>
    <m/>
    <m/>
    <n v="7.8"/>
    <n v="0"/>
    <n v="0"/>
    <m/>
  </r>
  <r>
    <x v="18"/>
    <s v="Fri"/>
    <x v="2"/>
    <x v="0"/>
    <m/>
    <m/>
    <m/>
    <n v="7.8"/>
    <n v="0"/>
    <n v="0"/>
    <m/>
  </r>
  <r>
    <x v="19"/>
    <s v="Sat"/>
    <x v="2"/>
    <x v="0"/>
    <m/>
    <m/>
    <m/>
    <n v="0"/>
    <n v="0"/>
    <n v="0"/>
    <m/>
  </r>
  <r>
    <x v="20"/>
    <s v="Sun"/>
    <x v="2"/>
    <x v="0"/>
    <m/>
    <m/>
    <m/>
    <n v="0"/>
    <n v="0"/>
    <n v="0"/>
    <m/>
  </r>
  <r>
    <x v="21"/>
    <s v="Mon"/>
    <x v="3"/>
    <x v="0"/>
    <m/>
    <m/>
    <m/>
    <n v="7.8"/>
    <n v="0"/>
    <n v="0"/>
    <m/>
  </r>
  <r>
    <x v="22"/>
    <s v="Tue"/>
    <x v="3"/>
    <x v="0"/>
    <m/>
    <m/>
    <m/>
    <n v="7.8"/>
    <n v="0"/>
    <n v="0"/>
    <m/>
  </r>
  <r>
    <x v="23"/>
    <s v="Wed"/>
    <x v="3"/>
    <x v="0"/>
    <m/>
    <m/>
    <m/>
    <n v="7.8"/>
    <n v="0"/>
    <n v="0"/>
    <m/>
  </r>
  <r>
    <x v="24"/>
    <s v="Thu"/>
    <x v="3"/>
    <x v="0"/>
    <m/>
    <m/>
    <m/>
    <n v="7.8"/>
    <n v="0"/>
    <n v="0"/>
    <m/>
  </r>
  <r>
    <x v="25"/>
    <s v="Fri"/>
    <x v="3"/>
    <x v="0"/>
    <m/>
    <m/>
    <m/>
    <n v="7.8"/>
    <n v="0"/>
    <n v="0"/>
    <m/>
  </r>
  <r>
    <x v="26"/>
    <s v="Sat"/>
    <x v="3"/>
    <x v="0"/>
    <m/>
    <m/>
    <m/>
    <n v="0"/>
    <n v="0"/>
    <n v="0"/>
    <m/>
  </r>
  <r>
    <x v="27"/>
    <s v="Sun"/>
    <x v="3"/>
    <x v="0"/>
    <m/>
    <m/>
    <m/>
    <n v="0"/>
    <n v="0"/>
    <n v="0"/>
    <m/>
  </r>
  <r>
    <x v="28"/>
    <s v="Mon"/>
    <x v="4"/>
    <x v="0"/>
    <m/>
    <m/>
    <m/>
    <n v="7.8"/>
    <n v="0"/>
    <n v="0"/>
    <m/>
  </r>
  <r>
    <x v="29"/>
    <s v="Tue"/>
    <x v="4"/>
    <x v="0"/>
    <m/>
    <m/>
    <m/>
    <n v="7.8"/>
    <n v="0"/>
    <n v="0"/>
    <m/>
  </r>
  <r>
    <x v="30"/>
    <s v="Wed"/>
    <x v="4"/>
    <x v="0"/>
    <m/>
    <m/>
    <m/>
    <n v="7.8"/>
    <n v="0"/>
    <n v="0"/>
    <m/>
  </r>
  <r>
    <x v="31"/>
    <s v="Thu"/>
    <x v="4"/>
    <x v="0"/>
    <m/>
    <m/>
    <m/>
    <n v="7.8"/>
    <n v="0"/>
    <n v="0"/>
    <m/>
  </r>
  <r>
    <x v="32"/>
    <s v="Fri"/>
    <x v="4"/>
    <x v="0"/>
    <m/>
    <m/>
    <m/>
    <n v="7.8"/>
    <n v="0"/>
    <n v="0"/>
    <m/>
  </r>
  <r>
    <x v="33"/>
    <s v="Sat"/>
    <x v="4"/>
    <x v="0"/>
    <m/>
    <m/>
    <m/>
    <n v="0"/>
    <n v="0"/>
    <n v="0"/>
    <m/>
  </r>
  <r>
    <x v="34"/>
    <s v="Sun"/>
    <x v="4"/>
    <x v="0"/>
    <m/>
    <m/>
    <m/>
    <n v="0"/>
    <n v="0"/>
    <n v="0"/>
    <m/>
  </r>
  <r>
    <x v="35"/>
    <s v="Mon"/>
    <x v="5"/>
    <x v="0"/>
    <m/>
    <m/>
    <m/>
    <n v="7.8"/>
    <n v="0"/>
    <n v="0"/>
    <m/>
  </r>
  <r>
    <x v="36"/>
    <s v="Tue"/>
    <x v="5"/>
    <x v="0"/>
    <m/>
    <m/>
    <m/>
    <n v="7.8"/>
    <n v="0"/>
    <n v="0"/>
    <m/>
  </r>
  <r>
    <x v="37"/>
    <s v="Wed"/>
    <x v="5"/>
    <x v="0"/>
    <m/>
    <m/>
    <m/>
    <n v="7.8"/>
    <n v="0"/>
    <n v="0"/>
    <m/>
  </r>
  <r>
    <x v="38"/>
    <s v="Thu"/>
    <x v="5"/>
    <x v="0"/>
    <m/>
    <m/>
    <m/>
    <n v="7.8"/>
    <n v="0"/>
    <n v="0"/>
    <m/>
  </r>
  <r>
    <x v="39"/>
    <s v="Fri"/>
    <x v="5"/>
    <x v="0"/>
    <m/>
    <m/>
    <m/>
    <n v="7.8"/>
    <n v="0"/>
    <n v="0"/>
    <m/>
  </r>
  <r>
    <x v="40"/>
    <s v="Sat"/>
    <x v="5"/>
    <x v="0"/>
    <m/>
    <m/>
    <m/>
    <n v="0"/>
    <n v="0"/>
    <n v="0"/>
    <m/>
  </r>
  <r>
    <x v="41"/>
    <s v="Sun"/>
    <x v="5"/>
    <x v="0"/>
    <m/>
    <m/>
    <m/>
    <n v="0"/>
    <n v="0"/>
    <n v="0"/>
    <m/>
  </r>
  <r>
    <x v="42"/>
    <s v="Mon"/>
    <x v="6"/>
    <x v="0"/>
    <m/>
    <m/>
    <m/>
    <n v="7.8"/>
    <n v="0"/>
    <n v="0"/>
    <m/>
  </r>
  <r>
    <x v="43"/>
    <s v="Tue"/>
    <x v="6"/>
    <x v="0"/>
    <m/>
    <m/>
    <m/>
    <n v="7.8"/>
    <n v="0"/>
    <n v="0"/>
    <m/>
  </r>
  <r>
    <x v="44"/>
    <s v="Wed"/>
    <x v="6"/>
    <x v="0"/>
    <m/>
    <m/>
    <m/>
    <n v="7.8"/>
    <n v="0"/>
    <n v="0"/>
    <m/>
  </r>
  <r>
    <x v="45"/>
    <s v="Thu"/>
    <x v="6"/>
    <x v="0"/>
    <m/>
    <m/>
    <m/>
    <n v="7.8"/>
    <n v="0"/>
    <n v="0"/>
    <m/>
  </r>
  <r>
    <x v="46"/>
    <s v="Fri"/>
    <x v="6"/>
    <x v="0"/>
    <m/>
    <m/>
    <m/>
    <n v="7.8"/>
    <n v="0"/>
    <n v="0"/>
    <m/>
  </r>
  <r>
    <x v="47"/>
    <s v="Sat"/>
    <x v="6"/>
    <x v="0"/>
    <m/>
    <m/>
    <m/>
    <n v="0"/>
    <n v="0"/>
    <n v="0"/>
    <m/>
  </r>
  <r>
    <x v="48"/>
    <s v="Sun"/>
    <x v="6"/>
    <x v="0"/>
    <m/>
    <m/>
    <m/>
    <n v="0"/>
    <n v="0"/>
    <n v="0"/>
    <m/>
  </r>
  <r>
    <x v="49"/>
    <s v="Mon"/>
    <x v="7"/>
    <x v="0"/>
    <m/>
    <m/>
    <m/>
    <n v="7.8"/>
    <n v="0"/>
    <n v="0"/>
    <m/>
  </r>
  <r>
    <x v="50"/>
    <s v="Tue"/>
    <x v="7"/>
    <x v="0"/>
    <m/>
    <m/>
    <m/>
    <n v="7.8"/>
    <n v="0"/>
    <n v="0"/>
    <m/>
  </r>
  <r>
    <x v="51"/>
    <s v="Wed"/>
    <x v="7"/>
    <x v="0"/>
    <m/>
    <m/>
    <m/>
    <n v="7.8"/>
    <n v="0"/>
    <n v="0"/>
    <m/>
  </r>
  <r>
    <x v="52"/>
    <s v="Thu"/>
    <x v="7"/>
    <x v="0"/>
    <m/>
    <m/>
    <m/>
    <n v="7.8"/>
    <n v="0"/>
    <n v="0"/>
    <m/>
  </r>
  <r>
    <x v="53"/>
    <s v="Fri"/>
    <x v="7"/>
    <x v="0"/>
    <m/>
    <m/>
    <m/>
    <n v="7.8"/>
    <n v="0"/>
    <n v="0"/>
    <m/>
  </r>
  <r>
    <x v="54"/>
    <s v="Sat"/>
    <x v="7"/>
    <x v="0"/>
    <m/>
    <m/>
    <m/>
    <n v="0"/>
    <n v="0"/>
    <n v="0"/>
    <m/>
  </r>
  <r>
    <x v="55"/>
    <s v="Sun"/>
    <x v="7"/>
    <x v="0"/>
    <m/>
    <m/>
    <m/>
    <n v="0"/>
    <n v="0"/>
    <n v="0"/>
    <m/>
  </r>
  <r>
    <x v="56"/>
    <s v="Mon"/>
    <x v="8"/>
    <x v="0"/>
    <m/>
    <m/>
    <m/>
    <n v="7.8"/>
    <n v="0"/>
    <n v="0"/>
    <m/>
  </r>
  <r>
    <x v="57"/>
    <s v="Tue"/>
    <x v="8"/>
    <x v="0"/>
    <m/>
    <m/>
    <m/>
    <n v="7.8"/>
    <n v="0"/>
    <n v="0"/>
    <m/>
  </r>
  <r>
    <x v="58"/>
    <s v="Wed"/>
    <x v="8"/>
    <x v="0"/>
    <m/>
    <m/>
    <m/>
    <n v="7.8"/>
    <n v="0"/>
    <n v="0"/>
    <m/>
  </r>
  <r>
    <x v="59"/>
    <s v="Thu"/>
    <x v="8"/>
    <x v="0"/>
    <m/>
    <m/>
    <m/>
    <n v="7.8"/>
    <n v="0"/>
    <n v="0"/>
    <m/>
  </r>
  <r>
    <x v="60"/>
    <s v="Fri"/>
    <x v="8"/>
    <x v="0"/>
    <m/>
    <m/>
    <m/>
    <n v="7.8"/>
    <n v="0"/>
    <n v="0"/>
    <m/>
  </r>
  <r>
    <x v="61"/>
    <s v="Sat"/>
    <x v="8"/>
    <x v="0"/>
    <m/>
    <m/>
    <m/>
    <n v="0"/>
    <n v="0"/>
    <n v="0"/>
    <m/>
  </r>
  <r>
    <x v="62"/>
    <s v="Sun"/>
    <x v="8"/>
    <x v="0"/>
    <m/>
    <m/>
    <m/>
    <n v="0"/>
    <n v="0"/>
    <n v="0"/>
    <m/>
  </r>
  <r>
    <x v="63"/>
    <s v="Mon"/>
    <x v="9"/>
    <x v="0"/>
    <m/>
    <m/>
    <m/>
    <n v="7.8"/>
    <n v="0"/>
    <n v="0"/>
    <m/>
  </r>
  <r>
    <x v="64"/>
    <s v="Tue"/>
    <x v="9"/>
    <x v="0"/>
    <m/>
    <m/>
    <m/>
    <n v="7.8"/>
    <n v="0"/>
    <n v="0"/>
    <m/>
  </r>
  <r>
    <x v="65"/>
    <s v="Wed"/>
    <x v="9"/>
    <x v="0"/>
    <m/>
    <m/>
    <m/>
    <n v="7.8"/>
    <n v="0"/>
    <n v="0"/>
    <m/>
  </r>
  <r>
    <x v="66"/>
    <s v="Thu"/>
    <x v="9"/>
    <x v="0"/>
    <m/>
    <m/>
    <m/>
    <n v="7.8"/>
    <n v="0"/>
    <n v="0"/>
    <m/>
  </r>
  <r>
    <x v="67"/>
    <s v="Fri"/>
    <x v="9"/>
    <x v="0"/>
    <m/>
    <m/>
    <m/>
    <n v="7.8"/>
    <n v="0"/>
    <n v="0"/>
    <m/>
  </r>
  <r>
    <x v="68"/>
    <s v="Sat"/>
    <x v="9"/>
    <x v="0"/>
    <m/>
    <m/>
    <m/>
    <n v="0"/>
    <n v="0"/>
    <n v="0"/>
    <m/>
  </r>
  <r>
    <x v="69"/>
    <s v="Sun"/>
    <x v="9"/>
    <x v="0"/>
    <m/>
    <m/>
    <m/>
    <n v="0"/>
    <n v="0"/>
    <n v="0"/>
    <m/>
  </r>
  <r>
    <x v="70"/>
    <s v="Mon"/>
    <x v="10"/>
    <x v="0"/>
    <m/>
    <m/>
    <m/>
    <n v="7.8"/>
    <n v="0"/>
    <n v="0"/>
    <m/>
  </r>
  <r>
    <x v="71"/>
    <s v="Tue"/>
    <x v="10"/>
    <x v="0"/>
    <m/>
    <m/>
    <m/>
    <n v="7.8"/>
    <n v="0"/>
    <n v="0"/>
    <m/>
  </r>
  <r>
    <x v="72"/>
    <s v="Wed"/>
    <x v="10"/>
    <x v="0"/>
    <m/>
    <m/>
    <m/>
    <n v="7.8"/>
    <n v="0"/>
    <n v="0"/>
    <m/>
  </r>
  <r>
    <x v="73"/>
    <s v="Thu"/>
    <x v="10"/>
    <x v="0"/>
    <m/>
    <m/>
    <m/>
    <n v="7.8"/>
    <n v="0"/>
    <n v="0"/>
    <m/>
  </r>
  <r>
    <x v="74"/>
    <s v="Fri"/>
    <x v="10"/>
    <x v="0"/>
    <m/>
    <m/>
    <m/>
    <n v="7.8"/>
    <n v="0"/>
    <n v="0"/>
    <m/>
  </r>
  <r>
    <x v="75"/>
    <s v="Sat"/>
    <x v="10"/>
    <x v="0"/>
    <m/>
    <m/>
    <m/>
    <n v="0"/>
    <n v="0"/>
    <n v="0"/>
    <m/>
  </r>
  <r>
    <x v="76"/>
    <s v="Sun"/>
    <x v="10"/>
    <x v="0"/>
    <m/>
    <m/>
    <m/>
    <n v="0"/>
    <n v="0"/>
    <n v="0"/>
    <m/>
  </r>
  <r>
    <x v="77"/>
    <s v="Mon"/>
    <x v="11"/>
    <x v="0"/>
    <m/>
    <m/>
    <m/>
    <n v="7.8"/>
    <n v="0"/>
    <n v="0"/>
    <m/>
  </r>
  <r>
    <x v="78"/>
    <s v="Tue"/>
    <x v="11"/>
    <x v="0"/>
    <m/>
    <m/>
    <m/>
    <n v="7.8"/>
    <n v="0"/>
    <n v="0"/>
    <m/>
  </r>
  <r>
    <x v="79"/>
    <s v="Wed"/>
    <x v="11"/>
    <x v="0"/>
    <m/>
    <m/>
    <m/>
    <n v="7.8"/>
    <n v="0"/>
    <n v="0"/>
    <m/>
  </r>
  <r>
    <x v="80"/>
    <s v="Thu"/>
    <x v="11"/>
    <x v="0"/>
    <m/>
    <m/>
    <m/>
    <n v="7.8"/>
    <n v="0"/>
    <n v="0"/>
    <m/>
  </r>
  <r>
    <x v="81"/>
    <s v="Fri"/>
    <x v="11"/>
    <x v="0"/>
    <m/>
    <m/>
    <m/>
    <n v="7.8"/>
    <n v="0"/>
    <n v="0"/>
    <m/>
  </r>
  <r>
    <x v="82"/>
    <s v="Sat"/>
    <x v="11"/>
    <x v="0"/>
    <m/>
    <m/>
    <m/>
    <n v="0"/>
    <n v="0"/>
    <n v="0"/>
    <m/>
  </r>
  <r>
    <x v="83"/>
    <s v="Sun"/>
    <x v="11"/>
    <x v="0"/>
    <m/>
    <m/>
    <m/>
    <n v="0"/>
    <n v="0"/>
    <n v="0"/>
    <m/>
  </r>
  <r>
    <x v="84"/>
    <s v="Mon"/>
    <x v="12"/>
    <x v="0"/>
    <m/>
    <m/>
    <m/>
    <n v="7.8"/>
    <n v="0"/>
    <n v="0"/>
    <m/>
  </r>
  <r>
    <x v="85"/>
    <s v="Tue"/>
    <x v="12"/>
    <x v="0"/>
    <m/>
    <m/>
    <m/>
    <n v="7.8"/>
    <n v="0"/>
    <n v="0"/>
    <m/>
  </r>
  <r>
    <x v="86"/>
    <s v="Wed"/>
    <x v="12"/>
    <x v="0"/>
    <m/>
    <m/>
    <m/>
    <n v="7.8"/>
    <n v="0"/>
    <n v="0"/>
    <m/>
  </r>
  <r>
    <x v="87"/>
    <s v="Thu"/>
    <x v="12"/>
    <x v="0"/>
    <m/>
    <m/>
    <m/>
    <n v="7.8"/>
    <n v="0"/>
    <n v="0"/>
    <m/>
  </r>
  <r>
    <x v="88"/>
    <s v="Fri"/>
    <x v="12"/>
    <x v="0"/>
    <m/>
    <m/>
    <m/>
    <n v="7.8"/>
    <n v="0"/>
    <n v="0"/>
    <m/>
  </r>
  <r>
    <x v="89"/>
    <s v="Sat"/>
    <x v="12"/>
    <x v="0"/>
    <m/>
    <m/>
    <m/>
    <n v="0"/>
    <n v="0"/>
    <n v="0"/>
    <m/>
  </r>
  <r>
    <x v="90"/>
    <s v="Sun"/>
    <x v="12"/>
    <x v="0"/>
    <m/>
    <m/>
    <m/>
    <n v="0"/>
    <n v="0"/>
    <n v="0"/>
    <m/>
  </r>
  <r>
    <x v="91"/>
    <s v="Mon"/>
    <x v="13"/>
    <x v="0"/>
    <m/>
    <m/>
    <m/>
    <n v="7.8"/>
    <n v="0"/>
    <n v="0"/>
    <m/>
  </r>
  <r>
    <x v="92"/>
    <s v="Tue"/>
    <x v="13"/>
    <x v="0"/>
    <m/>
    <m/>
    <m/>
    <n v="7.8"/>
    <n v="0"/>
    <n v="0"/>
    <m/>
  </r>
  <r>
    <x v="93"/>
    <s v="Wed"/>
    <x v="13"/>
    <x v="0"/>
    <m/>
    <m/>
    <m/>
    <n v="7.8"/>
    <n v="0"/>
    <n v="0"/>
    <m/>
  </r>
  <r>
    <x v="94"/>
    <s v="Thu"/>
    <x v="13"/>
    <x v="0"/>
    <m/>
    <m/>
    <m/>
    <n v="7.8"/>
    <n v="0"/>
    <n v="0"/>
    <m/>
  </r>
  <r>
    <x v="95"/>
    <s v="Fri"/>
    <x v="13"/>
    <x v="0"/>
    <m/>
    <m/>
    <m/>
    <n v="7.8"/>
    <n v="0"/>
    <n v="0"/>
    <m/>
  </r>
  <r>
    <x v="96"/>
    <s v="Sat"/>
    <x v="13"/>
    <x v="0"/>
    <m/>
    <m/>
    <m/>
    <n v="0"/>
    <n v="0"/>
    <n v="0"/>
    <m/>
  </r>
  <r>
    <x v="97"/>
    <s v="Sun"/>
    <x v="13"/>
    <x v="0"/>
    <m/>
    <m/>
    <m/>
    <n v="0"/>
    <n v="0"/>
    <n v="0"/>
    <m/>
  </r>
  <r>
    <x v="98"/>
    <s v="Mon"/>
    <x v="14"/>
    <x v="0"/>
    <m/>
    <m/>
    <m/>
    <n v="7.8"/>
    <n v="0"/>
    <n v="0"/>
    <m/>
  </r>
  <r>
    <x v="99"/>
    <s v="Tue"/>
    <x v="14"/>
    <x v="0"/>
    <m/>
    <m/>
    <m/>
    <n v="7.8"/>
    <n v="0"/>
    <n v="0"/>
    <m/>
  </r>
  <r>
    <x v="100"/>
    <s v="Wed"/>
    <x v="14"/>
    <x v="0"/>
    <m/>
    <m/>
    <m/>
    <n v="7.8"/>
    <n v="0"/>
    <n v="0"/>
    <m/>
  </r>
  <r>
    <x v="101"/>
    <s v="Thu"/>
    <x v="14"/>
    <x v="0"/>
    <m/>
    <m/>
    <m/>
    <n v="7.8"/>
    <n v="0"/>
    <n v="0"/>
    <m/>
  </r>
  <r>
    <x v="102"/>
    <s v="Fri"/>
    <x v="14"/>
    <x v="0"/>
    <m/>
    <m/>
    <m/>
    <n v="7.8"/>
    <n v="0"/>
    <n v="0"/>
    <m/>
  </r>
  <r>
    <x v="103"/>
    <s v="Sat"/>
    <x v="14"/>
    <x v="0"/>
    <m/>
    <m/>
    <m/>
    <n v="0"/>
    <n v="0"/>
    <n v="0"/>
    <m/>
  </r>
  <r>
    <x v="104"/>
    <s v="Sun"/>
    <x v="14"/>
    <x v="0"/>
    <m/>
    <m/>
    <m/>
    <n v="0"/>
    <n v="0"/>
    <n v="0"/>
    <m/>
  </r>
  <r>
    <x v="105"/>
    <s v="Mon"/>
    <x v="15"/>
    <x v="0"/>
    <m/>
    <m/>
    <m/>
    <n v="7.8"/>
    <n v="0"/>
    <n v="0"/>
    <m/>
  </r>
  <r>
    <x v="106"/>
    <s v="Tue"/>
    <x v="15"/>
    <x v="0"/>
    <m/>
    <m/>
    <m/>
    <n v="7.8"/>
    <n v="0"/>
    <n v="0"/>
    <m/>
  </r>
  <r>
    <x v="107"/>
    <s v="Wed"/>
    <x v="15"/>
    <x v="0"/>
    <m/>
    <m/>
    <m/>
    <n v="7.8"/>
    <n v="0"/>
    <n v="0"/>
    <m/>
  </r>
  <r>
    <x v="108"/>
    <s v="Thu"/>
    <x v="15"/>
    <x v="0"/>
    <m/>
    <m/>
    <m/>
    <n v="7.8"/>
    <n v="0"/>
    <n v="0"/>
    <m/>
  </r>
  <r>
    <x v="109"/>
    <s v="Fri"/>
    <x v="15"/>
    <x v="0"/>
    <m/>
    <m/>
    <m/>
    <n v="7.8"/>
    <n v="0"/>
    <n v="0"/>
    <m/>
  </r>
  <r>
    <x v="110"/>
    <s v="Sat"/>
    <x v="15"/>
    <x v="0"/>
    <m/>
    <m/>
    <m/>
    <n v="0"/>
    <n v="0"/>
    <n v="0"/>
    <m/>
  </r>
  <r>
    <x v="111"/>
    <s v="Sun"/>
    <x v="15"/>
    <x v="0"/>
    <m/>
    <m/>
    <m/>
    <n v="0"/>
    <n v="0"/>
    <n v="0"/>
    <m/>
  </r>
  <r>
    <x v="112"/>
    <s v="Mon"/>
    <x v="16"/>
    <x v="0"/>
    <m/>
    <m/>
    <m/>
    <n v="7.8"/>
    <n v="0"/>
    <n v="0"/>
    <m/>
  </r>
  <r>
    <x v="113"/>
    <s v="Tue"/>
    <x v="16"/>
    <x v="0"/>
    <m/>
    <m/>
    <m/>
    <n v="7.8"/>
    <n v="0"/>
    <n v="0"/>
    <m/>
  </r>
  <r>
    <x v="114"/>
    <s v="Wed"/>
    <x v="16"/>
    <x v="0"/>
    <m/>
    <m/>
    <m/>
    <n v="7.8"/>
    <n v="0"/>
    <n v="0"/>
    <m/>
  </r>
  <r>
    <x v="115"/>
    <s v="Thu"/>
    <x v="16"/>
    <x v="0"/>
    <m/>
    <m/>
    <m/>
    <n v="7.8"/>
    <n v="0"/>
    <n v="0"/>
    <m/>
  </r>
  <r>
    <x v="116"/>
    <s v="Fri"/>
    <x v="16"/>
    <x v="0"/>
    <m/>
    <m/>
    <m/>
    <n v="7.8"/>
    <n v="0"/>
    <n v="0"/>
    <m/>
  </r>
  <r>
    <x v="117"/>
    <s v="Sat"/>
    <x v="16"/>
    <x v="0"/>
    <m/>
    <m/>
    <m/>
    <n v="0"/>
    <n v="0"/>
    <n v="0"/>
    <m/>
  </r>
  <r>
    <x v="118"/>
    <s v="Sun"/>
    <x v="16"/>
    <x v="0"/>
    <m/>
    <m/>
    <m/>
    <n v="0"/>
    <n v="0"/>
    <n v="0"/>
    <m/>
  </r>
  <r>
    <x v="119"/>
    <s v="Mon"/>
    <x v="17"/>
    <x v="0"/>
    <m/>
    <m/>
    <m/>
    <n v="7.8"/>
    <n v="0"/>
    <n v="0"/>
    <m/>
  </r>
  <r>
    <x v="120"/>
    <s v="Tue"/>
    <x v="17"/>
    <x v="0"/>
    <m/>
    <m/>
    <m/>
    <n v="7.8"/>
    <n v="0"/>
    <n v="0"/>
    <m/>
  </r>
  <r>
    <x v="121"/>
    <s v="Wed"/>
    <x v="17"/>
    <x v="0"/>
    <m/>
    <m/>
    <m/>
    <n v="7.8"/>
    <n v="0"/>
    <n v="0"/>
    <m/>
  </r>
  <r>
    <x v="122"/>
    <s v="Thu"/>
    <x v="17"/>
    <x v="0"/>
    <m/>
    <m/>
    <m/>
    <n v="7.8"/>
    <n v="0"/>
    <n v="0"/>
    <m/>
  </r>
  <r>
    <x v="123"/>
    <s v="Fri"/>
    <x v="17"/>
    <x v="0"/>
    <m/>
    <m/>
    <m/>
    <n v="7.8"/>
    <n v="0"/>
    <n v="0"/>
    <m/>
  </r>
  <r>
    <x v="124"/>
    <s v="Sat"/>
    <x v="17"/>
    <x v="0"/>
    <m/>
    <m/>
    <m/>
    <n v="0"/>
    <n v="0"/>
    <n v="0"/>
    <m/>
  </r>
  <r>
    <x v="125"/>
    <s v="Sun"/>
    <x v="17"/>
    <x v="0"/>
    <m/>
    <m/>
    <m/>
    <n v="0"/>
    <n v="0"/>
    <n v="0"/>
    <m/>
  </r>
  <r>
    <x v="126"/>
    <s v="Mon"/>
    <x v="18"/>
    <x v="0"/>
    <m/>
    <m/>
    <m/>
    <n v="7.8"/>
    <n v="0"/>
    <n v="0"/>
    <m/>
  </r>
  <r>
    <x v="127"/>
    <s v="Tue"/>
    <x v="18"/>
    <x v="0"/>
    <m/>
    <m/>
    <m/>
    <n v="7.8"/>
    <n v="0"/>
    <n v="0"/>
    <m/>
  </r>
  <r>
    <x v="128"/>
    <s v="Wed"/>
    <x v="18"/>
    <x v="0"/>
    <m/>
    <m/>
    <m/>
    <n v="7.8"/>
    <n v="0"/>
    <n v="0"/>
    <m/>
  </r>
  <r>
    <x v="129"/>
    <s v="Thu"/>
    <x v="18"/>
    <x v="0"/>
    <m/>
    <m/>
    <m/>
    <n v="7.8"/>
    <n v="0"/>
    <n v="0"/>
    <m/>
  </r>
  <r>
    <x v="130"/>
    <s v="Fri"/>
    <x v="18"/>
    <x v="0"/>
    <m/>
    <m/>
    <m/>
    <n v="7.8"/>
    <n v="0"/>
    <n v="0"/>
    <m/>
  </r>
  <r>
    <x v="131"/>
    <s v="Sat"/>
    <x v="18"/>
    <x v="0"/>
    <m/>
    <m/>
    <m/>
    <n v="0"/>
    <n v="0"/>
    <n v="0"/>
    <m/>
  </r>
  <r>
    <x v="132"/>
    <s v="Sun"/>
    <x v="18"/>
    <x v="0"/>
    <m/>
    <m/>
    <m/>
    <n v="0"/>
    <n v="0"/>
    <n v="0"/>
    <m/>
  </r>
  <r>
    <x v="133"/>
    <s v="Mon"/>
    <x v="19"/>
    <x v="0"/>
    <m/>
    <m/>
    <m/>
    <n v="7.8"/>
    <n v="0"/>
    <n v="0"/>
    <m/>
  </r>
  <r>
    <x v="134"/>
    <s v="Tue"/>
    <x v="19"/>
    <x v="0"/>
    <m/>
    <m/>
    <m/>
    <n v="7.8"/>
    <n v="0"/>
    <n v="0"/>
    <m/>
  </r>
  <r>
    <x v="135"/>
    <s v="Wed"/>
    <x v="19"/>
    <x v="0"/>
    <m/>
    <m/>
    <m/>
    <n v="7.8"/>
    <n v="0"/>
    <n v="0"/>
    <m/>
  </r>
  <r>
    <x v="136"/>
    <s v="Thu"/>
    <x v="19"/>
    <x v="0"/>
    <m/>
    <m/>
    <m/>
    <n v="7.8"/>
    <n v="0"/>
    <n v="0"/>
    <m/>
  </r>
  <r>
    <x v="137"/>
    <s v="Fri"/>
    <x v="19"/>
    <x v="0"/>
    <m/>
    <m/>
    <m/>
    <n v="7.8"/>
    <n v="0"/>
    <n v="0"/>
    <m/>
  </r>
  <r>
    <x v="138"/>
    <s v="Sat"/>
    <x v="19"/>
    <x v="0"/>
    <m/>
    <m/>
    <m/>
    <n v="0"/>
    <n v="0"/>
    <n v="0"/>
    <m/>
  </r>
  <r>
    <x v="139"/>
    <s v="Sun"/>
    <x v="19"/>
    <x v="0"/>
    <m/>
    <m/>
    <m/>
    <n v="0"/>
    <n v="0"/>
    <n v="0"/>
    <m/>
  </r>
  <r>
    <x v="140"/>
    <s v="Mon"/>
    <x v="20"/>
    <x v="0"/>
    <m/>
    <m/>
    <m/>
    <n v="7.8"/>
    <n v="0"/>
    <n v="0"/>
    <m/>
  </r>
  <r>
    <x v="141"/>
    <s v="Tue"/>
    <x v="20"/>
    <x v="0"/>
    <m/>
    <m/>
    <m/>
    <n v="7.8"/>
    <n v="0"/>
    <n v="0"/>
    <m/>
  </r>
  <r>
    <x v="142"/>
    <s v="Wed"/>
    <x v="20"/>
    <x v="0"/>
    <m/>
    <m/>
    <m/>
    <n v="7.8"/>
    <n v="0"/>
    <n v="0"/>
    <m/>
  </r>
  <r>
    <x v="143"/>
    <s v="Thu"/>
    <x v="20"/>
    <x v="0"/>
    <m/>
    <m/>
    <m/>
    <n v="7.8"/>
    <n v="0"/>
    <n v="0"/>
    <m/>
  </r>
  <r>
    <x v="144"/>
    <s v="Fri"/>
    <x v="20"/>
    <x v="0"/>
    <m/>
    <m/>
    <m/>
    <n v="7.8"/>
    <n v="0"/>
    <n v="0"/>
    <m/>
  </r>
  <r>
    <x v="145"/>
    <s v="Sat"/>
    <x v="20"/>
    <x v="0"/>
    <m/>
    <m/>
    <m/>
    <n v="0"/>
    <n v="0"/>
    <n v="0"/>
    <m/>
  </r>
  <r>
    <x v="146"/>
    <s v="Sun"/>
    <x v="20"/>
    <x v="0"/>
    <m/>
    <m/>
    <m/>
    <n v="0"/>
    <n v="0"/>
    <n v="0"/>
    <m/>
  </r>
  <r>
    <x v="147"/>
    <s v="Mon"/>
    <x v="21"/>
    <x v="0"/>
    <m/>
    <m/>
    <m/>
    <n v="7.8"/>
    <n v="0"/>
    <n v="0"/>
    <m/>
  </r>
  <r>
    <x v="148"/>
    <s v="Tue"/>
    <x v="21"/>
    <x v="0"/>
    <m/>
    <m/>
    <m/>
    <n v="7.8"/>
    <n v="0"/>
    <n v="0"/>
    <m/>
  </r>
  <r>
    <x v="149"/>
    <s v="Wed"/>
    <x v="21"/>
    <x v="0"/>
    <m/>
    <m/>
    <m/>
    <n v="7.8"/>
    <n v="0"/>
    <n v="0"/>
    <m/>
  </r>
  <r>
    <x v="150"/>
    <s v="Thu"/>
    <x v="21"/>
    <x v="0"/>
    <m/>
    <m/>
    <m/>
    <n v="7.8"/>
    <n v="0"/>
    <n v="0"/>
    <m/>
  </r>
  <r>
    <x v="151"/>
    <s v="Fri"/>
    <x v="21"/>
    <x v="0"/>
    <m/>
    <m/>
    <m/>
    <n v="7.8"/>
    <n v="0"/>
    <n v="0"/>
    <m/>
  </r>
  <r>
    <x v="152"/>
    <s v="Sat"/>
    <x v="21"/>
    <x v="0"/>
    <m/>
    <m/>
    <m/>
    <n v="0"/>
    <n v="0"/>
    <n v="0"/>
    <m/>
  </r>
  <r>
    <x v="153"/>
    <s v="Sun"/>
    <x v="21"/>
    <x v="0"/>
    <m/>
    <m/>
    <m/>
    <n v="0"/>
    <n v="0"/>
    <n v="0"/>
    <m/>
  </r>
  <r>
    <x v="154"/>
    <s v="Mon"/>
    <x v="22"/>
    <x v="0"/>
    <m/>
    <m/>
    <m/>
    <n v="7.8"/>
    <n v="0"/>
    <n v="0"/>
    <m/>
  </r>
  <r>
    <x v="155"/>
    <s v="Tue"/>
    <x v="22"/>
    <x v="0"/>
    <m/>
    <m/>
    <m/>
    <n v="7.8"/>
    <n v="0"/>
    <n v="0"/>
    <m/>
  </r>
  <r>
    <x v="156"/>
    <s v="Wed"/>
    <x v="22"/>
    <x v="0"/>
    <m/>
    <m/>
    <m/>
    <n v="7.8"/>
    <n v="0"/>
    <n v="0"/>
    <m/>
  </r>
  <r>
    <x v="157"/>
    <s v="Thu"/>
    <x v="22"/>
    <x v="0"/>
    <m/>
    <m/>
    <m/>
    <n v="7.8"/>
    <n v="0"/>
    <n v="0"/>
    <m/>
  </r>
  <r>
    <x v="158"/>
    <s v="Fri"/>
    <x v="22"/>
    <x v="0"/>
    <m/>
    <m/>
    <m/>
    <n v="7.8"/>
    <n v="0"/>
    <n v="0"/>
    <m/>
  </r>
  <r>
    <x v="159"/>
    <s v="Sat"/>
    <x v="22"/>
    <x v="0"/>
    <m/>
    <m/>
    <m/>
    <n v="0"/>
    <n v="0"/>
    <n v="0"/>
    <m/>
  </r>
  <r>
    <x v="160"/>
    <s v="Sun"/>
    <x v="22"/>
    <x v="0"/>
    <m/>
    <m/>
    <m/>
    <n v="0"/>
    <n v="0"/>
    <n v="0"/>
    <m/>
  </r>
  <r>
    <x v="161"/>
    <s v="Mon"/>
    <x v="23"/>
    <x v="0"/>
    <m/>
    <m/>
    <m/>
    <n v="7.8"/>
    <n v="0"/>
    <n v="0"/>
    <m/>
  </r>
  <r>
    <x v="162"/>
    <s v="Tue"/>
    <x v="23"/>
    <x v="0"/>
    <m/>
    <m/>
    <m/>
    <n v="7.8"/>
    <n v="0"/>
    <n v="0"/>
    <m/>
  </r>
  <r>
    <x v="163"/>
    <s v="Wed"/>
    <x v="23"/>
    <x v="0"/>
    <m/>
    <m/>
    <m/>
    <n v="7.8"/>
    <n v="0"/>
    <n v="0"/>
    <m/>
  </r>
  <r>
    <x v="164"/>
    <s v="Thu"/>
    <x v="23"/>
    <x v="0"/>
    <m/>
    <m/>
    <m/>
    <n v="7.8"/>
    <n v="0"/>
    <n v="0"/>
    <m/>
  </r>
  <r>
    <x v="165"/>
    <s v="Fri"/>
    <x v="23"/>
    <x v="0"/>
    <m/>
    <m/>
    <m/>
    <n v="7.8"/>
    <n v="0"/>
    <n v="0"/>
    <m/>
  </r>
  <r>
    <x v="166"/>
    <s v="Sat"/>
    <x v="23"/>
    <x v="0"/>
    <m/>
    <m/>
    <m/>
    <n v="0"/>
    <n v="0"/>
    <n v="0"/>
    <m/>
  </r>
  <r>
    <x v="167"/>
    <s v="Sun"/>
    <x v="23"/>
    <x v="0"/>
    <m/>
    <m/>
    <m/>
    <n v="0"/>
    <n v="0"/>
    <n v="0"/>
    <m/>
  </r>
  <r>
    <x v="168"/>
    <s v="Mon"/>
    <x v="24"/>
    <x v="0"/>
    <m/>
    <m/>
    <m/>
    <n v="7.8"/>
    <n v="0"/>
    <n v="0"/>
    <m/>
  </r>
  <r>
    <x v="169"/>
    <s v="Tue"/>
    <x v="24"/>
    <x v="0"/>
    <m/>
    <m/>
    <m/>
    <n v="7.8"/>
    <n v="0"/>
    <n v="0"/>
    <m/>
  </r>
  <r>
    <x v="170"/>
    <s v="Wed"/>
    <x v="24"/>
    <x v="0"/>
    <m/>
    <m/>
    <m/>
    <n v="7.8"/>
    <n v="0"/>
    <n v="0"/>
    <m/>
  </r>
  <r>
    <x v="171"/>
    <s v="Thu"/>
    <x v="24"/>
    <x v="0"/>
    <m/>
    <m/>
    <m/>
    <n v="7.8"/>
    <n v="0"/>
    <n v="0"/>
    <m/>
  </r>
  <r>
    <x v="172"/>
    <s v="Fri"/>
    <x v="24"/>
    <x v="0"/>
    <m/>
    <m/>
    <m/>
    <n v="7.8"/>
    <n v="0"/>
    <n v="0"/>
    <m/>
  </r>
  <r>
    <x v="173"/>
    <s v="Sat"/>
    <x v="24"/>
    <x v="0"/>
    <m/>
    <m/>
    <m/>
    <n v="0"/>
    <n v="0"/>
    <n v="0"/>
    <m/>
  </r>
  <r>
    <x v="174"/>
    <s v="Sun"/>
    <x v="24"/>
    <x v="0"/>
    <m/>
    <m/>
    <m/>
    <n v="0"/>
    <n v="0"/>
    <n v="0"/>
    <m/>
  </r>
  <r>
    <x v="175"/>
    <s v="Mon"/>
    <x v="25"/>
    <x v="0"/>
    <m/>
    <m/>
    <m/>
    <n v="7.8"/>
    <n v="0"/>
    <n v="0"/>
    <m/>
  </r>
  <r>
    <x v="176"/>
    <s v="Tue"/>
    <x v="25"/>
    <x v="0"/>
    <m/>
    <m/>
    <m/>
    <n v="7.8"/>
    <n v="0"/>
    <n v="0"/>
    <m/>
  </r>
  <r>
    <x v="177"/>
    <s v="Wed"/>
    <x v="25"/>
    <x v="0"/>
    <m/>
    <m/>
    <m/>
    <n v="7.8"/>
    <n v="0"/>
    <n v="0"/>
    <m/>
  </r>
  <r>
    <x v="178"/>
    <s v="Thu"/>
    <x v="25"/>
    <x v="0"/>
    <m/>
    <m/>
    <m/>
    <n v="7.8"/>
    <n v="0"/>
    <n v="0"/>
    <m/>
  </r>
  <r>
    <x v="179"/>
    <s v="Fri"/>
    <x v="25"/>
    <x v="0"/>
    <m/>
    <m/>
    <m/>
    <n v="7.8"/>
    <n v="0"/>
    <n v="0"/>
    <m/>
  </r>
  <r>
    <x v="180"/>
    <s v="Sat"/>
    <x v="25"/>
    <x v="0"/>
    <m/>
    <m/>
    <m/>
    <n v="0"/>
    <n v="0"/>
    <n v="0"/>
    <m/>
  </r>
  <r>
    <x v="181"/>
    <s v="Sun"/>
    <x v="25"/>
    <x v="0"/>
    <m/>
    <m/>
    <m/>
    <n v="0"/>
    <n v="0"/>
    <n v="0"/>
    <m/>
  </r>
  <r>
    <x v="182"/>
    <s v="Mon"/>
    <x v="26"/>
    <x v="0"/>
    <m/>
    <m/>
    <m/>
    <n v="7.8"/>
    <n v="0"/>
    <n v="0"/>
    <m/>
  </r>
  <r>
    <x v="183"/>
    <s v="Tue"/>
    <x v="26"/>
    <x v="0"/>
    <m/>
    <m/>
    <m/>
    <n v="7.8"/>
    <n v="0"/>
    <n v="0"/>
    <m/>
  </r>
  <r>
    <x v="184"/>
    <s v="Wed"/>
    <x v="26"/>
    <x v="0"/>
    <m/>
    <m/>
    <m/>
    <n v="7.8"/>
    <n v="0"/>
    <n v="0"/>
    <m/>
  </r>
  <r>
    <x v="185"/>
    <s v="Thu"/>
    <x v="26"/>
    <x v="0"/>
    <m/>
    <m/>
    <m/>
    <n v="7.8"/>
    <n v="0"/>
    <n v="0"/>
    <m/>
  </r>
  <r>
    <x v="186"/>
    <s v="Fri"/>
    <x v="26"/>
    <x v="0"/>
    <m/>
    <m/>
    <m/>
    <n v="7.8"/>
    <n v="0"/>
    <n v="0"/>
    <m/>
  </r>
  <r>
    <x v="187"/>
    <s v="Sat"/>
    <x v="26"/>
    <x v="0"/>
    <m/>
    <m/>
    <m/>
    <n v="0"/>
    <n v="0"/>
    <n v="0"/>
    <m/>
  </r>
  <r>
    <x v="188"/>
    <s v="Sun"/>
    <x v="26"/>
    <x v="0"/>
    <m/>
    <m/>
    <m/>
    <n v="0"/>
    <n v="0"/>
    <n v="0"/>
    <m/>
  </r>
  <r>
    <x v="189"/>
    <s v="Mon"/>
    <x v="27"/>
    <x v="0"/>
    <m/>
    <m/>
    <m/>
    <n v="7.8"/>
    <n v="0"/>
    <n v="0"/>
    <m/>
  </r>
  <r>
    <x v="190"/>
    <s v="Tue"/>
    <x v="27"/>
    <x v="0"/>
    <m/>
    <m/>
    <m/>
    <n v="7.8"/>
    <n v="0"/>
    <n v="0"/>
    <m/>
  </r>
  <r>
    <x v="191"/>
    <s v="Wed"/>
    <x v="27"/>
    <x v="0"/>
    <m/>
    <m/>
    <m/>
    <n v="7.8"/>
    <n v="0"/>
    <n v="0"/>
    <m/>
  </r>
  <r>
    <x v="192"/>
    <s v="Thu"/>
    <x v="27"/>
    <x v="0"/>
    <m/>
    <m/>
    <m/>
    <n v="7.8"/>
    <n v="0"/>
    <n v="0"/>
    <m/>
  </r>
  <r>
    <x v="193"/>
    <s v="Fri"/>
    <x v="27"/>
    <x v="0"/>
    <m/>
    <m/>
    <m/>
    <n v="7.8"/>
    <n v="0"/>
    <n v="0"/>
    <m/>
  </r>
  <r>
    <x v="194"/>
    <s v="Sat"/>
    <x v="27"/>
    <x v="0"/>
    <m/>
    <m/>
    <m/>
    <n v="0"/>
    <n v="0"/>
    <n v="0"/>
    <m/>
  </r>
  <r>
    <x v="195"/>
    <s v="Sun"/>
    <x v="27"/>
    <x v="0"/>
    <m/>
    <m/>
    <m/>
    <n v="0"/>
    <n v="0"/>
    <n v="0"/>
    <m/>
  </r>
  <r>
    <x v="196"/>
    <s v="Mon"/>
    <x v="28"/>
    <x v="0"/>
    <m/>
    <m/>
    <m/>
    <n v="7.8"/>
    <n v="0"/>
    <n v="0"/>
    <m/>
  </r>
  <r>
    <x v="197"/>
    <s v="Tue"/>
    <x v="28"/>
    <x v="0"/>
    <m/>
    <m/>
    <m/>
    <n v="7.8"/>
    <n v="0"/>
    <n v="0"/>
    <m/>
  </r>
  <r>
    <x v="198"/>
    <s v="Wed"/>
    <x v="28"/>
    <x v="0"/>
    <m/>
    <m/>
    <m/>
    <n v="7.8"/>
    <n v="0"/>
    <n v="0"/>
    <m/>
  </r>
  <r>
    <x v="199"/>
    <s v="Thu"/>
    <x v="28"/>
    <x v="0"/>
    <m/>
    <m/>
    <m/>
    <n v="7.8"/>
    <n v="0"/>
    <n v="0"/>
    <m/>
  </r>
  <r>
    <x v="200"/>
    <s v="Fri"/>
    <x v="28"/>
    <x v="0"/>
    <m/>
    <m/>
    <m/>
    <n v="7.8"/>
    <n v="0"/>
    <n v="0"/>
    <m/>
  </r>
  <r>
    <x v="201"/>
    <s v="Sat"/>
    <x v="28"/>
    <x v="0"/>
    <m/>
    <m/>
    <m/>
    <n v="0"/>
    <n v="0"/>
    <n v="0"/>
    <m/>
  </r>
  <r>
    <x v="202"/>
    <s v="Sun"/>
    <x v="28"/>
    <x v="0"/>
    <m/>
    <m/>
    <m/>
    <n v="0"/>
    <n v="0"/>
    <n v="0"/>
    <m/>
  </r>
  <r>
    <x v="203"/>
    <s v="Mon"/>
    <x v="29"/>
    <x v="0"/>
    <m/>
    <m/>
    <m/>
    <n v="7.8"/>
    <n v="0"/>
    <n v="0"/>
    <m/>
  </r>
  <r>
    <x v="204"/>
    <s v="Tue"/>
    <x v="29"/>
    <x v="0"/>
    <m/>
    <m/>
    <m/>
    <n v="7.8"/>
    <n v="0"/>
    <n v="0"/>
    <m/>
  </r>
  <r>
    <x v="205"/>
    <s v="Wed"/>
    <x v="29"/>
    <x v="0"/>
    <m/>
    <m/>
    <m/>
    <n v="7.8"/>
    <n v="0"/>
    <n v="0"/>
    <m/>
  </r>
  <r>
    <x v="206"/>
    <s v="Thu"/>
    <x v="29"/>
    <x v="0"/>
    <m/>
    <m/>
    <m/>
    <n v="7.8"/>
    <n v="0"/>
    <n v="0"/>
    <m/>
  </r>
  <r>
    <x v="207"/>
    <s v="Fri"/>
    <x v="29"/>
    <x v="0"/>
    <m/>
    <m/>
    <m/>
    <n v="7.8"/>
    <n v="0"/>
    <n v="0"/>
    <m/>
  </r>
  <r>
    <x v="208"/>
    <s v="Sat"/>
    <x v="29"/>
    <x v="0"/>
    <m/>
    <m/>
    <m/>
    <n v="0"/>
    <n v="0"/>
    <n v="0"/>
    <m/>
  </r>
  <r>
    <x v="209"/>
    <s v="Sun"/>
    <x v="29"/>
    <x v="0"/>
    <m/>
    <m/>
    <m/>
    <n v="0"/>
    <n v="0"/>
    <n v="0"/>
    <m/>
  </r>
  <r>
    <x v="210"/>
    <s v="Mon"/>
    <x v="30"/>
    <x v="0"/>
    <m/>
    <m/>
    <m/>
    <n v="7.8"/>
    <n v="0"/>
    <n v="0"/>
    <m/>
  </r>
  <r>
    <x v="211"/>
    <s v="Tue"/>
    <x v="30"/>
    <x v="0"/>
    <m/>
    <m/>
    <m/>
    <n v="7.8"/>
    <n v="0"/>
    <n v="0"/>
    <m/>
  </r>
  <r>
    <x v="212"/>
    <s v="Wed"/>
    <x v="30"/>
    <x v="0"/>
    <m/>
    <m/>
    <m/>
    <n v="7.8"/>
    <n v="0"/>
    <n v="0"/>
    <m/>
  </r>
  <r>
    <x v="213"/>
    <s v="Thu"/>
    <x v="30"/>
    <x v="0"/>
    <m/>
    <m/>
    <m/>
    <n v="7.8"/>
    <n v="0"/>
    <n v="0"/>
    <m/>
  </r>
  <r>
    <x v="214"/>
    <s v="Fri"/>
    <x v="30"/>
    <x v="0"/>
    <m/>
    <m/>
    <m/>
    <n v="7.8"/>
    <n v="0"/>
    <n v="0"/>
    <m/>
  </r>
  <r>
    <x v="215"/>
    <s v="Sat"/>
    <x v="30"/>
    <x v="0"/>
    <m/>
    <m/>
    <m/>
    <n v="0"/>
    <n v="0"/>
    <n v="0"/>
    <m/>
  </r>
  <r>
    <x v="216"/>
    <s v="Sun"/>
    <x v="30"/>
    <x v="0"/>
    <m/>
    <m/>
    <m/>
    <n v="0"/>
    <n v="0"/>
    <n v="0"/>
    <m/>
  </r>
  <r>
    <x v="217"/>
    <s v="Mon"/>
    <x v="31"/>
    <x v="0"/>
    <m/>
    <m/>
    <m/>
    <n v="7.8"/>
    <n v="0"/>
    <n v="0"/>
    <m/>
  </r>
  <r>
    <x v="218"/>
    <s v="Tue"/>
    <x v="31"/>
    <x v="0"/>
    <m/>
    <m/>
    <m/>
    <n v="7.8"/>
    <n v="0"/>
    <n v="0"/>
    <m/>
  </r>
  <r>
    <x v="219"/>
    <s v="Wed"/>
    <x v="31"/>
    <x v="0"/>
    <m/>
    <m/>
    <m/>
    <n v="7.8"/>
    <n v="0"/>
    <n v="0"/>
    <m/>
  </r>
  <r>
    <x v="220"/>
    <s v="Thu"/>
    <x v="31"/>
    <x v="0"/>
    <m/>
    <m/>
    <m/>
    <n v="7.8"/>
    <n v="0"/>
    <n v="0"/>
    <m/>
  </r>
  <r>
    <x v="221"/>
    <s v="Fri"/>
    <x v="31"/>
    <x v="0"/>
    <m/>
    <m/>
    <m/>
    <n v="7.8"/>
    <n v="0"/>
    <n v="0"/>
    <m/>
  </r>
  <r>
    <x v="222"/>
    <s v="Sat"/>
    <x v="31"/>
    <x v="0"/>
    <m/>
    <m/>
    <m/>
    <n v="0"/>
    <n v="0"/>
    <n v="0"/>
    <m/>
  </r>
  <r>
    <x v="223"/>
    <s v="Sun"/>
    <x v="31"/>
    <x v="0"/>
    <m/>
    <m/>
    <m/>
    <n v="0"/>
    <n v="0"/>
    <n v="0"/>
    <m/>
  </r>
  <r>
    <x v="224"/>
    <s v="Mon"/>
    <x v="32"/>
    <x v="0"/>
    <m/>
    <m/>
    <m/>
    <n v="7.8"/>
    <n v="0"/>
    <n v="0"/>
    <m/>
  </r>
  <r>
    <x v="225"/>
    <s v="Tue"/>
    <x v="32"/>
    <x v="0"/>
    <m/>
    <m/>
    <m/>
    <n v="7.8"/>
    <n v="0"/>
    <n v="0"/>
    <m/>
  </r>
  <r>
    <x v="226"/>
    <s v="Wed"/>
    <x v="32"/>
    <x v="0"/>
    <m/>
    <m/>
    <m/>
    <n v="7.8"/>
    <n v="0"/>
    <n v="0"/>
    <m/>
  </r>
  <r>
    <x v="227"/>
    <s v="Thu"/>
    <x v="32"/>
    <x v="0"/>
    <m/>
    <m/>
    <m/>
    <n v="7.8"/>
    <n v="0"/>
    <n v="0"/>
    <m/>
  </r>
  <r>
    <x v="228"/>
    <s v="Fri"/>
    <x v="32"/>
    <x v="0"/>
    <m/>
    <m/>
    <m/>
    <n v="7.8"/>
    <n v="0"/>
    <n v="0"/>
    <m/>
  </r>
  <r>
    <x v="229"/>
    <s v="Sat"/>
    <x v="32"/>
    <x v="0"/>
    <m/>
    <m/>
    <m/>
    <n v="0"/>
    <n v="0"/>
    <n v="0"/>
    <m/>
  </r>
  <r>
    <x v="230"/>
    <s v="Sun"/>
    <x v="32"/>
    <x v="0"/>
    <m/>
    <m/>
    <m/>
    <n v="0"/>
    <n v="0"/>
    <n v="0"/>
    <m/>
  </r>
  <r>
    <x v="231"/>
    <s v="Mon"/>
    <x v="33"/>
    <x v="0"/>
    <m/>
    <m/>
    <m/>
    <n v="7.8"/>
    <n v="0"/>
    <n v="0"/>
    <m/>
  </r>
  <r>
    <x v="232"/>
    <s v="Tue"/>
    <x v="33"/>
    <x v="0"/>
    <m/>
    <m/>
    <m/>
    <n v="7.8"/>
    <n v="0"/>
    <n v="0"/>
    <m/>
  </r>
  <r>
    <x v="233"/>
    <s v="Wed"/>
    <x v="33"/>
    <x v="0"/>
    <m/>
    <m/>
    <m/>
    <n v="7.8"/>
    <n v="0"/>
    <n v="0"/>
    <m/>
  </r>
  <r>
    <x v="234"/>
    <s v="Thu"/>
    <x v="33"/>
    <x v="0"/>
    <m/>
    <m/>
    <m/>
    <n v="7.8"/>
    <n v="0"/>
    <n v="0"/>
    <m/>
  </r>
  <r>
    <x v="235"/>
    <s v="Fri"/>
    <x v="33"/>
    <x v="0"/>
    <m/>
    <m/>
    <m/>
    <n v="7.8"/>
    <n v="0"/>
    <n v="0"/>
    <m/>
  </r>
  <r>
    <x v="236"/>
    <s v="Sat"/>
    <x v="33"/>
    <x v="0"/>
    <m/>
    <m/>
    <m/>
    <n v="0"/>
    <n v="0"/>
    <n v="0"/>
    <m/>
  </r>
  <r>
    <x v="237"/>
    <s v="Sun"/>
    <x v="33"/>
    <x v="0"/>
    <m/>
    <m/>
    <m/>
    <n v="0"/>
    <n v="0"/>
    <n v="0"/>
    <m/>
  </r>
  <r>
    <x v="238"/>
    <s v="Mon"/>
    <x v="34"/>
    <x v="0"/>
    <m/>
    <m/>
    <m/>
    <n v="7.8"/>
    <n v="0"/>
    <n v="0"/>
    <m/>
  </r>
  <r>
    <x v="239"/>
    <s v="Tue"/>
    <x v="34"/>
    <x v="0"/>
    <m/>
    <m/>
    <m/>
    <n v="7.8"/>
    <n v="0"/>
    <n v="0"/>
    <m/>
  </r>
  <r>
    <x v="240"/>
    <s v="Wed"/>
    <x v="34"/>
    <x v="0"/>
    <m/>
    <m/>
    <m/>
    <n v="7.8"/>
    <n v="0"/>
    <n v="0"/>
    <m/>
  </r>
  <r>
    <x v="241"/>
    <s v="Thu"/>
    <x v="34"/>
    <x v="0"/>
    <m/>
    <m/>
    <m/>
    <n v="7.8"/>
    <n v="0"/>
    <n v="0"/>
    <m/>
  </r>
  <r>
    <x v="242"/>
    <s v="Fri"/>
    <x v="34"/>
    <x v="0"/>
    <m/>
    <m/>
    <m/>
    <n v="7.8"/>
    <n v="0"/>
    <n v="0"/>
    <m/>
  </r>
  <r>
    <x v="243"/>
    <s v="Sat"/>
    <x v="34"/>
    <x v="0"/>
    <m/>
    <m/>
    <m/>
    <n v="0"/>
    <n v="0"/>
    <n v="0"/>
    <m/>
  </r>
  <r>
    <x v="244"/>
    <s v="Sun"/>
    <x v="34"/>
    <x v="0"/>
    <m/>
    <m/>
    <m/>
    <n v="0"/>
    <n v="0"/>
    <n v="0"/>
    <m/>
  </r>
  <r>
    <x v="245"/>
    <s v="Mon"/>
    <x v="35"/>
    <x v="0"/>
    <m/>
    <m/>
    <m/>
    <n v="7.8"/>
    <n v="0"/>
    <n v="0"/>
    <m/>
  </r>
  <r>
    <x v="246"/>
    <s v="Tue"/>
    <x v="35"/>
    <x v="0"/>
    <m/>
    <m/>
    <m/>
    <n v="7.8"/>
    <n v="0"/>
    <n v="0"/>
    <m/>
  </r>
  <r>
    <x v="247"/>
    <s v="Wed"/>
    <x v="35"/>
    <x v="0"/>
    <m/>
    <m/>
    <m/>
    <n v="7.8"/>
    <n v="0"/>
    <n v="0"/>
    <m/>
  </r>
  <r>
    <x v="248"/>
    <s v="Thu"/>
    <x v="35"/>
    <x v="0"/>
    <m/>
    <m/>
    <m/>
    <n v="7.8"/>
    <n v="0"/>
    <n v="0"/>
    <m/>
  </r>
  <r>
    <x v="249"/>
    <s v="Fri"/>
    <x v="35"/>
    <x v="0"/>
    <m/>
    <m/>
    <m/>
    <n v="7.8"/>
    <n v="0"/>
    <n v="0"/>
    <m/>
  </r>
  <r>
    <x v="250"/>
    <s v="Sat"/>
    <x v="35"/>
    <x v="0"/>
    <m/>
    <m/>
    <m/>
    <n v="0"/>
    <n v="0"/>
    <n v="0"/>
    <m/>
  </r>
  <r>
    <x v="251"/>
    <s v="Sun"/>
    <x v="35"/>
    <x v="0"/>
    <m/>
    <m/>
    <m/>
    <n v="0"/>
    <n v="0"/>
    <n v="0"/>
    <m/>
  </r>
  <r>
    <x v="252"/>
    <s v="Mon"/>
    <x v="36"/>
    <x v="0"/>
    <m/>
    <m/>
    <m/>
    <n v="7.8"/>
    <n v="0"/>
    <n v="0"/>
    <m/>
  </r>
  <r>
    <x v="253"/>
    <s v="Tue"/>
    <x v="36"/>
    <x v="0"/>
    <m/>
    <m/>
    <m/>
    <n v="7.8"/>
    <n v="0"/>
    <n v="0"/>
    <m/>
  </r>
  <r>
    <x v="254"/>
    <s v="Wed"/>
    <x v="36"/>
    <x v="0"/>
    <m/>
    <m/>
    <m/>
    <n v="7.8"/>
    <n v="0"/>
    <n v="0"/>
    <m/>
  </r>
  <r>
    <x v="255"/>
    <s v="Thu"/>
    <x v="36"/>
    <x v="0"/>
    <m/>
    <m/>
    <m/>
    <n v="7.8"/>
    <n v="0"/>
    <n v="0"/>
    <m/>
  </r>
  <r>
    <x v="256"/>
    <s v="Fri"/>
    <x v="36"/>
    <x v="0"/>
    <m/>
    <m/>
    <m/>
    <n v="7.8"/>
    <n v="0"/>
    <n v="0"/>
    <m/>
  </r>
  <r>
    <x v="257"/>
    <s v="Sat"/>
    <x v="36"/>
    <x v="0"/>
    <m/>
    <m/>
    <m/>
    <n v="0"/>
    <n v="0"/>
    <n v="0"/>
    <m/>
  </r>
  <r>
    <x v="258"/>
    <s v="Sun"/>
    <x v="36"/>
    <x v="0"/>
    <m/>
    <m/>
    <m/>
    <n v="0"/>
    <n v="0"/>
    <n v="0"/>
    <m/>
  </r>
  <r>
    <x v="259"/>
    <s v="Mon"/>
    <x v="37"/>
    <x v="0"/>
    <m/>
    <m/>
    <m/>
    <n v="7.8"/>
    <n v="0"/>
    <n v="0"/>
    <m/>
  </r>
  <r>
    <x v="260"/>
    <s v="Tue"/>
    <x v="37"/>
    <x v="0"/>
    <m/>
    <m/>
    <m/>
    <n v="7.8"/>
    <n v="0"/>
    <n v="0"/>
    <m/>
  </r>
  <r>
    <x v="261"/>
    <s v="Wed"/>
    <x v="37"/>
    <x v="0"/>
    <m/>
    <m/>
    <m/>
    <n v="7.8"/>
    <n v="0"/>
    <n v="0"/>
    <m/>
  </r>
  <r>
    <x v="262"/>
    <s v="Thu"/>
    <x v="37"/>
    <x v="0"/>
    <m/>
    <m/>
    <m/>
    <n v="7.8"/>
    <n v="0"/>
    <n v="0"/>
    <m/>
  </r>
  <r>
    <x v="263"/>
    <s v="Fri"/>
    <x v="37"/>
    <x v="0"/>
    <m/>
    <m/>
    <m/>
    <n v="7.8"/>
    <n v="0"/>
    <n v="0"/>
    <m/>
  </r>
  <r>
    <x v="264"/>
    <s v="Sat"/>
    <x v="37"/>
    <x v="0"/>
    <m/>
    <m/>
    <m/>
    <n v="0"/>
    <n v="0"/>
    <n v="0"/>
    <m/>
  </r>
  <r>
    <x v="265"/>
    <s v="Sun"/>
    <x v="37"/>
    <x v="0"/>
    <m/>
    <m/>
    <m/>
    <n v="0"/>
    <n v="0"/>
    <n v="0"/>
    <m/>
  </r>
  <r>
    <x v="266"/>
    <s v="Mon"/>
    <x v="38"/>
    <x v="0"/>
    <m/>
    <m/>
    <m/>
    <n v="7.8"/>
    <n v="0"/>
    <n v="0"/>
    <m/>
  </r>
  <r>
    <x v="267"/>
    <s v="Tue"/>
    <x v="38"/>
    <x v="0"/>
    <m/>
    <m/>
    <m/>
    <n v="7.8"/>
    <n v="0"/>
    <n v="0"/>
    <m/>
  </r>
  <r>
    <x v="268"/>
    <s v="Wed"/>
    <x v="38"/>
    <x v="0"/>
    <m/>
    <m/>
    <m/>
    <n v="7.8"/>
    <n v="0"/>
    <n v="0"/>
    <m/>
  </r>
  <r>
    <x v="269"/>
    <s v="Thu"/>
    <x v="38"/>
    <x v="0"/>
    <m/>
    <m/>
    <m/>
    <n v="7.8"/>
    <n v="0"/>
    <n v="0"/>
    <m/>
  </r>
  <r>
    <x v="270"/>
    <s v="Fri"/>
    <x v="38"/>
    <x v="0"/>
    <m/>
    <m/>
    <m/>
    <n v="7.8"/>
    <n v="0"/>
    <n v="0"/>
    <m/>
  </r>
  <r>
    <x v="271"/>
    <s v="Sat"/>
    <x v="38"/>
    <x v="0"/>
    <m/>
    <m/>
    <m/>
    <n v="0"/>
    <n v="0"/>
    <n v="0"/>
    <m/>
  </r>
  <r>
    <x v="272"/>
    <s v="Sun"/>
    <x v="38"/>
    <x v="0"/>
    <m/>
    <m/>
    <m/>
    <n v="0"/>
    <n v="0"/>
    <n v="0"/>
    <m/>
  </r>
  <r>
    <x v="273"/>
    <s v="Mon"/>
    <x v="39"/>
    <x v="0"/>
    <m/>
    <m/>
    <m/>
    <n v="7.8"/>
    <n v="0"/>
    <n v="0"/>
    <m/>
  </r>
  <r>
    <x v="274"/>
    <s v="Tue"/>
    <x v="39"/>
    <x v="0"/>
    <m/>
    <m/>
    <m/>
    <n v="7.8"/>
    <n v="0"/>
    <n v="0"/>
    <m/>
  </r>
  <r>
    <x v="275"/>
    <s v="Wed"/>
    <x v="39"/>
    <x v="0"/>
    <m/>
    <m/>
    <m/>
    <n v="7.8"/>
    <n v="0"/>
    <n v="0"/>
    <m/>
  </r>
  <r>
    <x v="276"/>
    <s v="Thu"/>
    <x v="39"/>
    <x v="0"/>
    <m/>
    <m/>
    <m/>
    <n v="7.8"/>
    <n v="0"/>
    <n v="0"/>
    <m/>
  </r>
  <r>
    <x v="277"/>
    <s v="Fri"/>
    <x v="39"/>
    <x v="0"/>
    <m/>
    <m/>
    <m/>
    <n v="7.8"/>
    <n v="0"/>
    <n v="0"/>
    <m/>
  </r>
  <r>
    <x v="278"/>
    <s v="Sat"/>
    <x v="39"/>
    <x v="0"/>
    <m/>
    <m/>
    <m/>
    <n v="0"/>
    <n v="0"/>
    <n v="0"/>
    <m/>
  </r>
  <r>
    <x v="279"/>
    <s v="Sun"/>
    <x v="39"/>
    <x v="0"/>
    <m/>
    <m/>
    <m/>
    <n v="0"/>
    <n v="0"/>
    <n v="0"/>
    <m/>
  </r>
  <r>
    <x v="280"/>
    <s v="Mon"/>
    <x v="40"/>
    <x v="0"/>
    <m/>
    <m/>
    <m/>
    <n v="7.8"/>
    <n v="0"/>
    <n v="0"/>
    <m/>
  </r>
  <r>
    <x v="281"/>
    <s v="Tue"/>
    <x v="40"/>
    <x v="0"/>
    <m/>
    <m/>
    <m/>
    <n v="7.8"/>
    <n v="0"/>
    <n v="0"/>
    <m/>
  </r>
  <r>
    <x v="282"/>
    <s v="Wed"/>
    <x v="40"/>
    <x v="0"/>
    <m/>
    <m/>
    <m/>
    <n v="7.8"/>
    <n v="0"/>
    <n v="0"/>
    <m/>
  </r>
  <r>
    <x v="283"/>
    <s v="Thu"/>
    <x v="40"/>
    <x v="0"/>
    <m/>
    <m/>
    <m/>
    <n v="7.8"/>
    <n v="0"/>
    <n v="0"/>
    <m/>
  </r>
  <r>
    <x v="284"/>
    <s v="Fri"/>
    <x v="40"/>
    <x v="0"/>
    <m/>
    <m/>
    <m/>
    <n v="7.8"/>
    <n v="0"/>
    <n v="0"/>
    <m/>
  </r>
  <r>
    <x v="285"/>
    <s v="Sat"/>
    <x v="40"/>
    <x v="0"/>
    <m/>
    <m/>
    <m/>
    <n v="0"/>
    <n v="0"/>
    <n v="0"/>
    <m/>
  </r>
  <r>
    <x v="286"/>
    <s v="Sun"/>
    <x v="40"/>
    <x v="0"/>
    <m/>
    <m/>
    <m/>
    <n v="0"/>
    <n v="0"/>
    <n v="0"/>
    <m/>
  </r>
  <r>
    <x v="287"/>
    <s v="Mon"/>
    <x v="41"/>
    <x v="0"/>
    <m/>
    <m/>
    <m/>
    <n v="7.8"/>
    <n v="0"/>
    <n v="0"/>
    <m/>
  </r>
  <r>
    <x v="288"/>
    <s v="Tue"/>
    <x v="41"/>
    <x v="0"/>
    <m/>
    <m/>
    <m/>
    <n v="7.8"/>
    <n v="0"/>
    <n v="0"/>
    <m/>
  </r>
  <r>
    <x v="289"/>
    <s v="Wed"/>
    <x v="41"/>
    <x v="0"/>
    <m/>
    <m/>
    <m/>
    <n v="7.8"/>
    <n v="0"/>
    <n v="0"/>
    <m/>
  </r>
  <r>
    <x v="290"/>
    <s v="Thu"/>
    <x v="41"/>
    <x v="0"/>
    <m/>
    <m/>
    <m/>
    <n v="7.8"/>
    <n v="0"/>
    <n v="0"/>
    <m/>
  </r>
  <r>
    <x v="291"/>
    <s v="Fri"/>
    <x v="41"/>
    <x v="0"/>
    <m/>
    <m/>
    <m/>
    <n v="7.8"/>
    <n v="0"/>
    <n v="0"/>
    <m/>
  </r>
  <r>
    <x v="292"/>
    <s v="Sat"/>
    <x v="41"/>
    <x v="0"/>
    <m/>
    <m/>
    <m/>
    <n v="0"/>
    <n v="0"/>
    <n v="0"/>
    <m/>
  </r>
  <r>
    <x v="293"/>
    <s v="Sun"/>
    <x v="41"/>
    <x v="0"/>
    <m/>
    <m/>
    <m/>
    <n v="0"/>
    <n v="0"/>
    <n v="0"/>
    <m/>
  </r>
  <r>
    <x v="294"/>
    <s v="Mon"/>
    <x v="42"/>
    <x v="0"/>
    <m/>
    <m/>
    <m/>
    <n v="7.8"/>
    <n v="0"/>
    <n v="0"/>
    <m/>
  </r>
  <r>
    <x v="295"/>
    <s v="Tue"/>
    <x v="42"/>
    <x v="0"/>
    <m/>
    <m/>
    <m/>
    <n v="7.8"/>
    <n v="0"/>
    <n v="0"/>
    <m/>
  </r>
  <r>
    <x v="296"/>
    <s v="Wed"/>
    <x v="42"/>
    <x v="0"/>
    <m/>
    <m/>
    <m/>
    <n v="7.8"/>
    <n v="0"/>
    <n v="0"/>
    <m/>
  </r>
  <r>
    <x v="297"/>
    <s v="Thu"/>
    <x v="42"/>
    <x v="0"/>
    <m/>
    <m/>
    <m/>
    <n v="7.8"/>
    <n v="0"/>
    <n v="0"/>
    <m/>
  </r>
  <r>
    <x v="298"/>
    <s v="Fri"/>
    <x v="42"/>
    <x v="0"/>
    <m/>
    <m/>
    <m/>
    <n v="7.8"/>
    <n v="0"/>
    <n v="0"/>
    <m/>
  </r>
  <r>
    <x v="299"/>
    <s v="Sat"/>
    <x v="42"/>
    <x v="0"/>
    <m/>
    <m/>
    <m/>
    <n v="0"/>
    <n v="0"/>
    <n v="0"/>
    <m/>
  </r>
  <r>
    <x v="300"/>
    <s v="Sun"/>
    <x v="42"/>
    <x v="0"/>
    <m/>
    <m/>
    <m/>
    <n v="0"/>
    <n v="0"/>
    <n v="0"/>
    <m/>
  </r>
  <r>
    <x v="301"/>
    <s v="Mon"/>
    <x v="43"/>
    <x v="0"/>
    <m/>
    <m/>
    <m/>
    <n v="7.8"/>
    <n v="0"/>
    <n v="0"/>
    <m/>
  </r>
  <r>
    <x v="302"/>
    <s v="Tue"/>
    <x v="43"/>
    <x v="0"/>
    <m/>
    <m/>
    <m/>
    <n v="7.8"/>
    <n v="0"/>
    <n v="0"/>
    <m/>
  </r>
  <r>
    <x v="303"/>
    <s v="Wed"/>
    <x v="43"/>
    <x v="0"/>
    <m/>
    <m/>
    <m/>
    <n v="7.8"/>
    <n v="0"/>
    <n v="0"/>
    <m/>
  </r>
  <r>
    <x v="304"/>
    <s v="Thu"/>
    <x v="43"/>
    <x v="0"/>
    <m/>
    <m/>
    <m/>
    <n v="7.8"/>
    <n v="0"/>
    <n v="0"/>
    <m/>
  </r>
  <r>
    <x v="305"/>
    <s v="Fri"/>
    <x v="43"/>
    <x v="0"/>
    <m/>
    <m/>
    <m/>
    <n v="7.8"/>
    <n v="0"/>
    <n v="0"/>
    <m/>
  </r>
  <r>
    <x v="306"/>
    <s v="Sat"/>
    <x v="43"/>
    <x v="0"/>
    <m/>
    <m/>
    <m/>
    <n v="0"/>
    <n v="0"/>
    <n v="0"/>
    <m/>
  </r>
  <r>
    <x v="307"/>
    <s v="Sun"/>
    <x v="43"/>
    <x v="0"/>
    <m/>
    <m/>
    <m/>
    <n v="0"/>
    <n v="0"/>
    <n v="0"/>
    <m/>
  </r>
  <r>
    <x v="308"/>
    <s v="Mon"/>
    <x v="44"/>
    <x v="0"/>
    <m/>
    <m/>
    <m/>
    <n v="7.8"/>
    <n v="0"/>
    <n v="0"/>
    <m/>
  </r>
  <r>
    <x v="309"/>
    <s v="Tue"/>
    <x v="44"/>
    <x v="0"/>
    <m/>
    <m/>
    <m/>
    <n v="7.8"/>
    <n v="0"/>
    <n v="0"/>
    <m/>
  </r>
  <r>
    <x v="310"/>
    <s v="Wed"/>
    <x v="44"/>
    <x v="0"/>
    <m/>
    <m/>
    <m/>
    <n v="7.8"/>
    <n v="0"/>
    <n v="0"/>
    <m/>
  </r>
  <r>
    <x v="311"/>
    <s v="Thu"/>
    <x v="44"/>
    <x v="0"/>
    <m/>
    <m/>
    <m/>
    <n v="7.8"/>
    <n v="0"/>
    <n v="0"/>
    <m/>
  </r>
  <r>
    <x v="312"/>
    <s v="Fri"/>
    <x v="44"/>
    <x v="0"/>
    <m/>
    <m/>
    <m/>
    <n v="7.8"/>
    <n v="0"/>
    <n v="0"/>
    <m/>
  </r>
  <r>
    <x v="313"/>
    <s v="Sat"/>
    <x v="44"/>
    <x v="0"/>
    <m/>
    <m/>
    <m/>
    <n v="0"/>
    <n v="0"/>
    <n v="0"/>
    <m/>
  </r>
  <r>
    <x v="314"/>
    <s v="Sun"/>
    <x v="44"/>
    <x v="0"/>
    <m/>
    <m/>
    <m/>
    <n v="0"/>
    <n v="0"/>
    <n v="0"/>
    <m/>
  </r>
  <r>
    <x v="315"/>
    <s v="Mon"/>
    <x v="45"/>
    <x v="0"/>
    <m/>
    <m/>
    <m/>
    <n v="7.8"/>
    <n v="0"/>
    <n v="0"/>
    <m/>
  </r>
  <r>
    <x v="316"/>
    <s v="Tue"/>
    <x v="45"/>
    <x v="0"/>
    <m/>
    <m/>
    <m/>
    <n v="7.8"/>
    <n v="0"/>
    <n v="0"/>
    <m/>
  </r>
  <r>
    <x v="317"/>
    <s v="Wed"/>
    <x v="45"/>
    <x v="0"/>
    <m/>
    <m/>
    <m/>
    <n v="7.8"/>
    <n v="0"/>
    <n v="0"/>
    <m/>
  </r>
  <r>
    <x v="318"/>
    <s v="Thu"/>
    <x v="45"/>
    <x v="0"/>
    <m/>
    <m/>
    <m/>
    <n v="7.8"/>
    <n v="0"/>
    <n v="0"/>
    <m/>
  </r>
  <r>
    <x v="319"/>
    <s v="Fri"/>
    <x v="45"/>
    <x v="0"/>
    <m/>
    <m/>
    <m/>
    <n v="7.8"/>
    <n v="0"/>
    <n v="0"/>
    <m/>
  </r>
  <r>
    <x v="320"/>
    <s v="Sat"/>
    <x v="45"/>
    <x v="0"/>
    <m/>
    <m/>
    <m/>
    <n v="0"/>
    <n v="0"/>
    <n v="0"/>
    <m/>
  </r>
  <r>
    <x v="321"/>
    <s v="Sun"/>
    <x v="45"/>
    <x v="0"/>
    <m/>
    <m/>
    <m/>
    <n v="0"/>
    <n v="0"/>
    <n v="0"/>
    <m/>
  </r>
  <r>
    <x v="322"/>
    <s v="Mon"/>
    <x v="46"/>
    <x v="0"/>
    <m/>
    <m/>
    <m/>
    <n v="7.8"/>
    <n v="0"/>
    <n v="0"/>
    <m/>
  </r>
  <r>
    <x v="323"/>
    <s v="Tue"/>
    <x v="46"/>
    <x v="0"/>
    <m/>
    <m/>
    <m/>
    <n v="7.8"/>
    <n v="0"/>
    <n v="0"/>
    <m/>
  </r>
  <r>
    <x v="324"/>
    <s v="Wed"/>
    <x v="46"/>
    <x v="0"/>
    <m/>
    <m/>
    <m/>
    <n v="7.8"/>
    <n v="0"/>
    <n v="0"/>
    <m/>
  </r>
  <r>
    <x v="325"/>
    <s v="Thu"/>
    <x v="46"/>
    <x v="0"/>
    <m/>
    <m/>
    <m/>
    <n v="7.8"/>
    <n v="0"/>
    <n v="0"/>
    <m/>
  </r>
  <r>
    <x v="326"/>
    <s v="Fri"/>
    <x v="46"/>
    <x v="0"/>
    <m/>
    <m/>
    <m/>
    <n v="7.8"/>
    <n v="0"/>
    <n v="0"/>
    <m/>
  </r>
  <r>
    <x v="327"/>
    <s v="Sat"/>
    <x v="46"/>
    <x v="0"/>
    <m/>
    <m/>
    <m/>
    <n v="0"/>
    <n v="0"/>
    <n v="0"/>
    <m/>
  </r>
  <r>
    <x v="328"/>
    <s v="Sun"/>
    <x v="46"/>
    <x v="0"/>
    <m/>
    <m/>
    <m/>
    <n v="0"/>
    <n v="0"/>
    <n v="0"/>
    <m/>
  </r>
  <r>
    <x v="329"/>
    <s v="Mon"/>
    <x v="47"/>
    <x v="0"/>
    <m/>
    <m/>
    <m/>
    <n v="7.8"/>
    <n v="0"/>
    <n v="0"/>
    <m/>
  </r>
  <r>
    <x v="330"/>
    <s v="Tue"/>
    <x v="47"/>
    <x v="0"/>
    <m/>
    <m/>
    <m/>
    <n v="7.8"/>
    <n v="0"/>
    <n v="0"/>
    <m/>
  </r>
  <r>
    <x v="331"/>
    <s v="Wed"/>
    <x v="47"/>
    <x v="0"/>
    <m/>
    <m/>
    <m/>
    <n v="7.8"/>
    <n v="0"/>
    <n v="0"/>
    <m/>
  </r>
  <r>
    <x v="332"/>
    <s v="Thu"/>
    <x v="47"/>
    <x v="0"/>
    <m/>
    <m/>
    <m/>
    <n v="7.8"/>
    <n v="0"/>
    <n v="0"/>
    <m/>
  </r>
  <r>
    <x v="333"/>
    <s v="Fri"/>
    <x v="47"/>
    <x v="0"/>
    <m/>
    <m/>
    <m/>
    <n v="7.8"/>
    <n v="0"/>
    <n v="0"/>
    <m/>
  </r>
  <r>
    <x v="334"/>
    <s v="Sat"/>
    <x v="47"/>
    <x v="0"/>
    <m/>
    <m/>
    <m/>
    <n v="0"/>
    <n v="0"/>
    <n v="0"/>
    <m/>
  </r>
  <r>
    <x v="335"/>
    <s v="Sun"/>
    <x v="47"/>
    <x v="0"/>
    <m/>
    <m/>
    <m/>
    <n v="0"/>
    <n v="0"/>
    <n v="0"/>
    <m/>
  </r>
  <r>
    <x v="336"/>
    <s v="Mon"/>
    <x v="48"/>
    <x v="0"/>
    <m/>
    <m/>
    <m/>
    <n v="7.8"/>
    <n v="0"/>
    <n v="0"/>
    <m/>
  </r>
  <r>
    <x v="337"/>
    <s v="Tue"/>
    <x v="48"/>
    <x v="0"/>
    <m/>
    <m/>
    <m/>
    <n v="7.8"/>
    <n v="0"/>
    <n v="0"/>
    <m/>
  </r>
  <r>
    <x v="338"/>
    <s v="Wed"/>
    <x v="48"/>
    <x v="0"/>
    <m/>
    <m/>
    <m/>
    <n v="7.8"/>
    <n v="0"/>
    <n v="0"/>
    <m/>
  </r>
  <r>
    <x v="339"/>
    <s v="Thu"/>
    <x v="48"/>
    <x v="0"/>
    <m/>
    <m/>
    <m/>
    <n v="7.8"/>
    <n v="0"/>
    <n v="0"/>
    <m/>
  </r>
  <r>
    <x v="340"/>
    <s v="Fri"/>
    <x v="48"/>
    <x v="0"/>
    <m/>
    <m/>
    <m/>
    <n v="7.8"/>
    <n v="0"/>
    <n v="0"/>
    <m/>
  </r>
  <r>
    <x v="341"/>
    <s v="Sat"/>
    <x v="48"/>
    <x v="0"/>
    <m/>
    <m/>
    <m/>
    <n v="0"/>
    <n v="0"/>
    <n v="0"/>
    <m/>
  </r>
  <r>
    <x v="342"/>
    <s v="Sun"/>
    <x v="48"/>
    <x v="0"/>
    <m/>
    <m/>
    <m/>
    <n v="0"/>
    <n v="0"/>
    <n v="0"/>
    <m/>
  </r>
  <r>
    <x v="343"/>
    <s v="Mon"/>
    <x v="49"/>
    <x v="0"/>
    <m/>
    <m/>
    <m/>
    <n v="7.8"/>
    <n v="0"/>
    <n v="0"/>
    <m/>
  </r>
  <r>
    <x v="344"/>
    <s v="Tue"/>
    <x v="49"/>
    <x v="0"/>
    <m/>
    <m/>
    <m/>
    <n v="7.8"/>
    <n v="0"/>
    <n v="0"/>
    <m/>
  </r>
  <r>
    <x v="345"/>
    <s v="Wed"/>
    <x v="49"/>
    <x v="0"/>
    <m/>
    <m/>
    <m/>
    <n v="7.8"/>
    <n v="0"/>
    <n v="0"/>
    <m/>
  </r>
  <r>
    <x v="346"/>
    <s v="Thu"/>
    <x v="49"/>
    <x v="0"/>
    <m/>
    <m/>
    <m/>
    <n v="7.8"/>
    <n v="0"/>
    <n v="0"/>
    <m/>
  </r>
  <r>
    <x v="347"/>
    <s v="Fri"/>
    <x v="49"/>
    <x v="0"/>
    <m/>
    <m/>
    <m/>
    <n v="7.8"/>
    <n v="0"/>
    <n v="0"/>
    <m/>
  </r>
  <r>
    <x v="348"/>
    <s v="Sat"/>
    <x v="49"/>
    <x v="0"/>
    <m/>
    <m/>
    <m/>
    <n v="0"/>
    <n v="0"/>
    <n v="0"/>
    <m/>
  </r>
  <r>
    <x v="349"/>
    <s v="Sun"/>
    <x v="49"/>
    <x v="0"/>
    <m/>
    <m/>
    <m/>
    <n v="0"/>
    <n v="0"/>
    <n v="0"/>
    <m/>
  </r>
  <r>
    <x v="350"/>
    <s v="Mon"/>
    <x v="50"/>
    <x v="0"/>
    <m/>
    <m/>
    <m/>
    <n v="7.8"/>
    <n v="0"/>
    <n v="0"/>
    <m/>
  </r>
  <r>
    <x v="351"/>
    <s v="Tue"/>
    <x v="50"/>
    <x v="0"/>
    <m/>
    <m/>
    <m/>
    <n v="7.8"/>
    <n v="0"/>
    <n v="0"/>
    <m/>
  </r>
  <r>
    <x v="352"/>
    <s v="Wed"/>
    <x v="50"/>
    <x v="0"/>
    <m/>
    <m/>
    <m/>
    <n v="7.8"/>
    <n v="0"/>
    <n v="0"/>
    <m/>
  </r>
  <r>
    <x v="353"/>
    <s v="Thu"/>
    <x v="50"/>
    <x v="0"/>
    <m/>
    <m/>
    <m/>
    <n v="7.8"/>
    <n v="0"/>
    <n v="0"/>
    <m/>
  </r>
  <r>
    <x v="354"/>
    <s v="Fri"/>
    <x v="50"/>
    <x v="0"/>
    <m/>
    <m/>
    <m/>
    <n v="7.8"/>
    <n v="0"/>
    <n v="0"/>
    <m/>
  </r>
  <r>
    <x v="355"/>
    <s v="Sat"/>
    <x v="50"/>
    <x v="0"/>
    <m/>
    <m/>
    <m/>
    <n v="0"/>
    <n v="0"/>
    <n v="0"/>
    <m/>
  </r>
  <r>
    <x v="356"/>
    <s v="Sun"/>
    <x v="50"/>
    <x v="0"/>
    <m/>
    <m/>
    <m/>
    <n v="0"/>
    <n v="0"/>
    <n v="0"/>
    <m/>
  </r>
  <r>
    <x v="357"/>
    <s v="Mon"/>
    <x v="51"/>
    <x v="0"/>
    <m/>
    <m/>
    <m/>
    <n v="7.8"/>
    <n v="0"/>
    <n v="0"/>
    <m/>
  </r>
  <r>
    <x v="358"/>
    <s v="Tue"/>
    <x v="51"/>
    <x v="0"/>
    <m/>
    <m/>
    <m/>
    <n v="7.8"/>
    <n v="0"/>
    <n v="0"/>
    <m/>
  </r>
  <r>
    <x v="359"/>
    <s v="Wed"/>
    <x v="51"/>
    <x v="0"/>
    <m/>
    <m/>
    <m/>
    <n v="7.8"/>
    <n v="0"/>
    <n v="0"/>
    <m/>
  </r>
  <r>
    <x v="360"/>
    <s v="Thu"/>
    <x v="51"/>
    <x v="0"/>
    <m/>
    <m/>
    <m/>
    <n v="7.8"/>
    <n v="0"/>
    <n v="0"/>
    <m/>
  </r>
  <r>
    <x v="361"/>
    <s v="Fri"/>
    <x v="51"/>
    <x v="0"/>
    <m/>
    <m/>
    <m/>
    <n v="7.8"/>
    <n v="0"/>
    <n v="0"/>
    <m/>
  </r>
  <r>
    <x v="362"/>
    <s v="Sat"/>
    <x v="51"/>
    <x v="0"/>
    <m/>
    <m/>
    <m/>
    <n v="0"/>
    <n v="0"/>
    <n v="0"/>
    <m/>
  </r>
  <r>
    <x v="363"/>
    <s v="Sun"/>
    <x v="51"/>
    <x v="0"/>
    <m/>
    <m/>
    <m/>
    <n v="0"/>
    <n v="0"/>
    <n v="0"/>
    <m/>
  </r>
  <r>
    <x v="364"/>
    <s v="Mon"/>
    <x v="0"/>
    <x v="0"/>
    <m/>
    <m/>
    <m/>
    <n v="7.8"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hrs_worked" cacheId="30" applyNumberFormats="0" applyBorderFormats="0" applyFontFormats="0" applyPatternFormats="0" applyAlignmentFormats="0" applyWidthHeightFormats="1" dataCaption="Values" grandTotalCaption="Year Total" updatedVersion="6" minRefreshableVersion="3" itemPrintTitles="1" mergeItem="1" createdVersion="6" indent="0" outline="1" outlineData="1" multipleFieldFilters="0" rowHeaderCaption="Month / Calender Week" colHeaderCaption="Type">
  <location ref="A3:C16" firstHeaderRow="0" firstDataRow="1" firstDataCol="1"/>
  <pivotFields count="13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showAll="0">
      <items count="7">
        <item m="1" x="5"/>
        <item m="1" x="3"/>
        <item m="1" x="4"/>
        <item m="1" x="1"/>
        <item m="1" x="2"/>
        <item x="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4">
        <item sd="0" x="1"/>
        <item n="non productive" sd="0" x="2"/>
        <item x="0"/>
        <item t="default"/>
      </items>
    </pivotField>
  </pivotFields>
  <rowFields count="2">
    <field x="11"/>
    <field x="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CTUAL working hours" fld="8" baseField="11" baseItem="9" numFmtId="2"/>
    <dataField name="Sum of +/-" fld="9" baseField="11" baseItem="9" numFmtId="2"/>
  </dataFields>
  <formats count="4">
    <format dxfId="7">
      <pivotArea field="-2" type="button" dataOnly="0" labelOnly="1" outline="0" axis="axisCol" fieldPosition="0"/>
    </format>
    <format dxfId="6">
      <pivotArea field="11" type="button" dataOnly="0" labelOnly="1" outline="0" axis="axisRow" fieldPosition="0"/>
    </format>
    <format dxfId="5">
      <pivotArea outline="0" fieldPosition="0">
        <references count="1">
          <reference field="4294967294" count="1">
            <x v="0"/>
          </reference>
        </references>
      </pivotArea>
    </format>
    <format dxfId="4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M366"/>
  <sheetViews>
    <sheetView tabSelected="1" workbookViewId="0">
      <pane ySplit="1" topLeftCell="A302" activePane="bottomLeft" state="frozen"/>
      <selection pane="bottomLeft" activeCell="A311" sqref="A311"/>
    </sheetView>
  </sheetViews>
  <sheetFormatPr defaultColWidth="9.140625" defaultRowHeight="15" x14ac:dyDescent="0.25"/>
  <cols>
    <col min="1" max="1" width="12" style="4" customWidth="1"/>
    <col min="2" max="2" width="10.140625" style="12" customWidth="1"/>
    <col min="3" max="3" width="11.140625" style="4" bestFit="1" customWidth="1"/>
    <col min="4" max="4" width="10.42578125" style="8" customWidth="1"/>
    <col min="5" max="5" width="7.7109375" style="6" customWidth="1"/>
    <col min="6" max="6" width="7.5703125" style="6" customWidth="1"/>
    <col min="7" max="7" width="7" style="8" customWidth="1"/>
    <col min="8" max="9" width="17.140625" style="22" customWidth="1"/>
    <col min="10" max="10" width="13" style="24" customWidth="1"/>
    <col min="11" max="11" width="104.7109375" style="4" customWidth="1"/>
    <col min="12" max="12" width="15.28515625" style="4" bestFit="1" customWidth="1"/>
    <col min="13" max="13" width="10.140625" style="4" bestFit="1" customWidth="1"/>
    <col min="14" max="16384" width="9.140625" style="4"/>
  </cols>
  <sheetData>
    <row r="1" spans="1:13" s="2" customFormat="1" ht="80.25" customHeight="1" x14ac:dyDescent="0.25">
      <c r="A1" s="13" t="s">
        <v>7</v>
      </c>
      <c r="B1" s="14" t="s">
        <v>8</v>
      </c>
      <c r="C1" s="13" t="s">
        <v>15</v>
      </c>
      <c r="D1" s="15" t="s">
        <v>9</v>
      </c>
      <c r="E1" s="16" t="s">
        <v>0</v>
      </c>
      <c r="F1" s="16" t="s">
        <v>10</v>
      </c>
      <c r="G1" s="17" t="s">
        <v>11</v>
      </c>
      <c r="H1" s="21" t="s">
        <v>13</v>
      </c>
      <c r="I1" s="21" t="s">
        <v>14</v>
      </c>
      <c r="J1" s="23" t="s">
        <v>1</v>
      </c>
      <c r="K1" s="18" t="s">
        <v>12</v>
      </c>
      <c r="L1" s="5"/>
    </row>
    <row r="2" spans="1:13" x14ac:dyDescent="0.25">
      <c r="A2" s="3">
        <v>41639</v>
      </c>
      <c r="B2" s="12" t="str">
        <f t="shared" ref="B2:B65" si="0">CHOOSE(WEEKDAY($A2,2),"Mon","Tue","Wed","Thu","Fri","Sat","Sun")</f>
        <v>Mon</v>
      </c>
      <c r="C2" s="7">
        <f t="shared" ref="C2:C65" si="1">_xlfn.ISOWEEKNUM($A2)</f>
        <v>1</v>
      </c>
      <c r="H2" s="22">
        <f>IF(AND(WEEKDAY($A2,2)&lt;=5,COUNTIF(timeaway_types, $A2)=0),7.8,0)</f>
        <v>7.8</v>
      </c>
      <c r="I2" s="22">
        <f t="shared" ref="I2:I65" si="2">IF(COUNTIF(nonprod_types, $D2)&gt;0,0, ($F2-$E2)-$G2)</f>
        <v>0</v>
      </c>
      <c r="J2" s="24">
        <f t="shared" ref="J2:J65" si="3">IF(D2="",0,$I2-$H2)</f>
        <v>0</v>
      </c>
    </row>
    <row r="3" spans="1:13" x14ac:dyDescent="0.25">
      <c r="A3" s="3">
        <v>41640</v>
      </c>
      <c r="B3" s="12" t="str">
        <f t="shared" si="0"/>
        <v>Tue</v>
      </c>
      <c r="C3" s="7">
        <f t="shared" si="1"/>
        <v>1</v>
      </c>
      <c r="H3" s="22">
        <f>IF(AND(WEEKDAY($A3,2)&lt;=5,COUNTIF(timeaway_types, $A3)=0),7.8,0)</f>
        <v>7.8</v>
      </c>
      <c r="I3" s="22">
        <f t="shared" si="2"/>
        <v>0</v>
      </c>
      <c r="J3" s="24">
        <f t="shared" si="3"/>
        <v>0</v>
      </c>
      <c r="M3" s="3"/>
    </row>
    <row r="4" spans="1:13" x14ac:dyDescent="0.25">
      <c r="A4" s="3">
        <v>41641</v>
      </c>
      <c r="B4" s="12" t="str">
        <f t="shared" si="0"/>
        <v>Wed</v>
      </c>
      <c r="C4" s="7">
        <f t="shared" si="1"/>
        <v>1</v>
      </c>
      <c r="H4" s="22">
        <f>IF(AND(WEEKDAY($A4,2)&lt;=5,COUNTIF(timeaway_types, $A4)=0),7.8,0)</f>
        <v>7.8</v>
      </c>
      <c r="I4" s="22">
        <f t="shared" si="2"/>
        <v>0</v>
      </c>
      <c r="J4" s="24">
        <f t="shared" si="3"/>
        <v>0</v>
      </c>
    </row>
    <row r="5" spans="1:13" x14ac:dyDescent="0.25">
      <c r="A5" s="3">
        <v>41642</v>
      </c>
      <c r="B5" s="12" t="str">
        <f t="shared" si="0"/>
        <v>Thu</v>
      </c>
      <c r="C5" s="7">
        <f t="shared" si="1"/>
        <v>1</v>
      </c>
      <c r="H5" s="22">
        <f>IF(AND(WEEKDAY($A5,2)&lt;=5,COUNTIF(timeaway_types, $A5)=0),7.8,0)</f>
        <v>7.8</v>
      </c>
      <c r="I5" s="22">
        <f t="shared" si="2"/>
        <v>0</v>
      </c>
      <c r="J5" s="24">
        <f t="shared" si="3"/>
        <v>0</v>
      </c>
    </row>
    <row r="6" spans="1:13" x14ac:dyDescent="0.25">
      <c r="A6" s="3">
        <v>41643</v>
      </c>
      <c r="B6" s="12" t="str">
        <f t="shared" si="0"/>
        <v>Fri</v>
      </c>
      <c r="C6" s="7">
        <f t="shared" si="1"/>
        <v>1</v>
      </c>
      <c r="H6" s="22">
        <f>IF(AND(WEEKDAY($A6,2)&lt;=5,COUNTIF(timeaway_types, $A6)=0),7.8,0)</f>
        <v>7.8</v>
      </c>
      <c r="I6" s="22">
        <f t="shared" si="2"/>
        <v>0</v>
      </c>
      <c r="J6" s="24">
        <f t="shared" si="3"/>
        <v>0</v>
      </c>
    </row>
    <row r="7" spans="1:13" x14ac:dyDescent="0.25">
      <c r="A7" s="3">
        <v>41644</v>
      </c>
      <c r="B7" s="12" t="str">
        <f t="shared" si="0"/>
        <v>Sat</v>
      </c>
      <c r="C7" s="7">
        <f t="shared" si="1"/>
        <v>1</v>
      </c>
      <c r="H7" s="22">
        <f>IF(AND(WEEKDAY($A7,2)&lt;=5,COUNTIF(timeaway_types, $A7)=0),7.8,0)</f>
        <v>0</v>
      </c>
      <c r="I7" s="22">
        <f t="shared" si="2"/>
        <v>0</v>
      </c>
      <c r="J7" s="24">
        <f t="shared" si="3"/>
        <v>0</v>
      </c>
    </row>
    <row r="8" spans="1:13" x14ac:dyDescent="0.25">
      <c r="A8" s="3">
        <v>41645</v>
      </c>
      <c r="B8" s="12" t="str">
        <f t="shared" si="0"/>
        <v>Sun</v>
      </c>
      <c r="C8" s="7">
        <f t="shared" si="1"/>
        <v>1</v>
      </c>
      <c r="H8" s="22">
        <f>IF(AND(WEEKDAY($A8,2)&lt;=5,COUNTIF(timeaway_types, $A8)=0),7.8,0)</f>
        <v>0</v>
      </c>
      <c r="I8" s="22">
        <f t="shared" si="2"/>
        <v>0</v>
      </c>
      <c r="J8" s="24">
        <f t="shared" si="3"/>
        <v>0</v>
      </c>
    </row>
    <row r="9" spans="1:13" x14ac:dyDescent="0.25">
      <c r="A9" s="3">
        <v>41646</v>
      </c>
      <c r="B9" s="12" t="str">
        <f t="shared" si="0"/>
        <v>Mon</v>
      </c>
      <c r="C9" s="7">
        <f t="shared" si="1"/>
        <v>2</v>
      </c>
      <c r="H9" s="22">
        <f>IF(AND(WEEKDAY($A9,2)&lt;=5,COUNTIF(timeaway_types, $A9)=0),7.8,0)</f>
        <v>7.8</v>
      </c>
      <c r="I9" s="22">
        <f t="shared" si="2"/>
        <v>0</v>
      </c>
      <c r="J9" s="24">
        <f t="shared" si="3"/>
        <v>0</v>
      </c>
    </row>
    <row r="10" spans="1:13" x14ac:dyDescent="0.25">
      <c r="A10" s="3">
        <v>41647</v>
      </c>
      <c r="B10" s="12" t="str">
        <f t="shared" si="0"/>
        <v>Tue</v>
      </c>
      <c r="C10" s="7">
        <f t="shared" si="1"/>
        <v>2</v>
      </c>
      <c r="H10" s="22">
        <f>IF(AND(WEEKDAY($A10,2)&lt;=5,COUNTIF(timeaway_types, $A10)=0),7.8,0)</f>
        <v>7.8</v>
      </c>
      <c r="I10" s="22">
        <f t="shared" si="2"/>
        <v>0</v>
      </c>
      <c r="J10" s="24">
        <f t="shared" si="3"/>
        <v>0</v>
      </c>
    </row>
    <row r="11" spans="1:13" x14ac:dyDescent="0.25">
      <c r="A11" s="3">
        <v>41648</v>
      </c>
      <c r="B11" s="12" t="str">
        <f t="shared" si="0"/>
        <v>Wed</v>
      </c>
      <c r="C11" s="7">
        <f t="shared" si="1"/>
        <v>2</v>
      </c>
      <c r="H11" s="22">
        <f>IF(AND(WEEKDAY($A11,2)&lt;=5,COUNTIF(timeaway_types, $A11)=0),7.8,0)</f>
        <v>7.8</v>
      </c>
      <c r="I11" s="22">
        <f t="shared" si="2"/>
        <v>0</v>
      </c>
      <c r="J11" s="24">
        <f t="shared" si="3"/>
        <v>0</v>
      </c>
    </row>
    <row r="12" spans="1:13" x14ac:dyDescent="0.25">
      <c r="A12" s="3">
        <v>41649</v>
      </c>
      <c r="B12" s="12" t="str">
        <f t="shared" si="0"/>
        <v>Thu</v>
      </c>
      <c r="C12" s="7">
        <f t="shared" si="1"/>
        <v>2</v>
      </c>
      <c r="H12" s="22">
        <f>IF(AND(WEEKDAY($A12,2)&lt;=5,COUNTIF(timeaway_types, $A12)=0),7.8,0)</f>
        <v>7.8</v>
      </c>
      <c r="I12" s="22">
        <f t="shared" si="2"/>
        <v>0</v>
      </c>
      <c r="J12" s="24">
        <f t="shared" si="3"/>
        <v>0</v>
      </c>
    </row>
    <row r="13" spans="1:13" x14ac:dyDescent="0.25">
      <c r="A13" s="3">
        <v>41650</v>
      </c>
      <c r="B13" s="12" t="str">
        <f t="shared" si="0"/>
        <v>Fri</v>
      </c>
      <c r="C13" s="7">
        <f t="shared" si="1"/>
        <v>2</v>
      </c>
      <c r="H13" s="22">
        <f>IF(AND(WEEKDAY($A13,2)&lt;=5,COUNTIF(timeaway_types, $A13)=0),7.8,0)</f>
        <v>7.8</v>
      </c>
      <c r="I13" s="22">
        <f>IF(COUNTIF(nonprod_types, $D13)&gt;0,0, (($F13-$E13)-$G13)*24)</f>
        <v>0</v>
      </c>
      <c r="J13" s="24">
        <f t="shared" si="3"/>
        <v>0</v>
      </c>
    </row>
    <row r="14" spans="1:13" x14ac:dyDescent="0.25">
      <c r="A14" s="3">
        <v>41651</v>
      </c>
      <c r="B14" s="12" t="str">
        <f t="shared" si="0"/>
        <v>Sat</v>
      </c>
      <c r="C14" s="7">
        <f t="shared" si="1"/>
        <v>2</v>
      </c>
      <c r="H14" s="22">
        <f>IF(AND(WEEKDAY($A14,2)&lt;=5,COUNTIF(timeaway_types, $A14)=0),7.8,0)</f>
        <v>0</v>
      </c>
      <c r="I14" s="22">
        <f>IF(COUNTIF(nonprod_types, $D14)&gt;0,0, (($F14-$E14)-$G14)*24)</f>
        <v>0</v>
      </c>
      <c r="J14" s="24">
        <f t="shared" si="3"/>
        <v>0</v>
      </c>
    </row>
    <row r="15" spans="1:13" x14ac:dyDescent="0.25">
      <c r="A15" s="3">
        <v>41652</v>
      </c>
      <c r="B15" s="12" t="str">
        <f t="shared" si="0"/>
        <v>Sun</v>
      </c>
      <c r="C15" s="7">
        <f t="shared" si="1"/>
        <v>2</v>
      </c>
      <c r="H15" s="22">
        <f>IF(AND(WEEKDAY($A15,2)&lt;=5,COUNTIF(timeaway_types, $A15)=0),7.8,0)</f>
        <v>0</v>
      </c>
      <c r="I15" s="22">
        <f>IF(COUNTIF(nonprod_types, $D15)&gt;0,0, (($F15-$E15)-$G15)*24)</f>
        <v>0</v>
      </c>
      <c r="J15" s="24">
        <f t="shared" si="3"/>
        <v>0</v>
      </c>
    </row>
    <row r="16" spans="1:13" x14ac:dyDescent="0.25">
      <c r="A16" s="3">
        <v>41653</v>
      </c>
      <c r="B16" s="12" t="str">
        <f t="shared" si="0"/>
        <v>Mon</v>
      </c>
      <c r="C16" s="7">
        <f t="shared" si="1"/>
        <v>3</v>
      </c>
      <c r="H16" s="22">
        <f>IF(AND(WEEKDAY($A16,2)&lt;=5,COUNTIF(timeaway_types, $A16)=0),7.8,0)</f>
        <v>7.8</v>
      </c>
      <c r="I16" s="22">
        <f>IF(COUNTIF(nonprod_types, $D16)&gt;0,0, (($F16-$E16)-$G16)*24)</f>
        <v>0</v>
      </c>
      <c r="J16" s="24">
        <f t="shared" si="3"/>
        <v>0</v>
      </c>
    </row>
    <row r="17" spans="1:10" x14ac:dyDescent="0.25">
      <c r="A17" s="3">
        <v>41654</v>
      </c>
      <c r="B17" s="12" t="str">
        <f t="shared" si="0"/>
        <v>Tue</v>
      </c>
      <c r="C17" s="7">
        <f t="shared" si="1"/>
        <v>3</v>
      </c>
      <c r="H17" s="22">
        <f>IF(AND(WEEKDAY($A17,2)&lt;=5,COUNTIF(timeaway_types, $A17)=0),7.8,0)</f>
        <v>7.8</v>
      </c>
      <c r="I17" s="22">
        <f>IF(COUNTIF(nonprod_types, $D17)&gt;0,0, (($F17-$E17)-$G17)*24)</f>
        <v>0</v>
      </c>
      <c r="J17" s="24">
        <f t="shared" si="3"/>
        <v>0</v>
      </c>
    </row>
    <row r="18" spans="1:10" x14ac:dyDescent="0.25">
      <c r="A18" s="3">
        <v>41655</v>
      </c>
      <c r="B18" s="12" t="str">
        <f t="shared" si="0"/>
        <v>Wed</v>
      </c>
      <c r="C18" s="7">
        <f t="shared" si="1"/>
        <v>3</v>
      </c>
      <c r="H18" s="22">
        <f>IF(AND(WEEKDAY($A18,2)&lt;=5,COUNTIF(timeaway_types, $A18)=0),7.8,0)</f>
        <v>7.8</v>
      </c>
      <c r="I18" s="22">
        <f>IF(COUNTIF(nonprod_types, $D18)&gt;0,0, (($F18-$E18)-$G18)*24)</f>
        <v>0</v>
      </c>
      <c r="J18" s="24">
        <f t="shared" si="3"/>
        <v>0</v>
      </c>
    </row>
    <row r="19" spans="1:10" x14ac:dyDescent="0.25">
      <c r="A19" s="3">
        <v>41656</v>
      </c>
      <c r="B19" s="12" t="str">
        <f t="shared" si="0"/>
        <v>Thu</v>
      </c>
      <c r="C19" s="7">
        <f t="shared" si="1"/>
        <v>3</v>
      </c>
      <c r="H19" s="22">
        <f>IF(AND(WEEKDAY($A19,2)&lt;=5,COUNTIF(timeaway_types, $A19)=0),7.8,0)</f>
        <v>7.8</v>
      </c>
      <c r="I19" s="22">
        <f>IF(COUNTIF(nonprod_types, $D19)&gt;0,0, (($F19-$E19)-$G19)*24)</f>
        <v>0</v>
      </c>
      <c r="J19" s="24">
        <f t="shared" si="3"/>
        <v>0</v>
      </c>
    </row>
    <row r="20" spans="1:10" x14ac:dyDescent="0.25">
      <c r="A20" s="3">
        <v>41657</v>
      </c>
      <c r="B20" s="12" t="str">
        <f t="shared" si="0"/>
        <v>Fri</v>
      </c>
      <c r="C20" s="7">
        <f t="shared" si="1"/>
        <v>3</v>
      </c>
      <c r="H20" s="22">
        <f>IF(AND(WEEKDAY($A20,2)&lt;=5,COUNTIF(timeaway_types, $A20)=0),7.8,0)</f>
        <v>7.8</v>
      </c>
      <c r="I20" s="22">
        <f>IF(COUNTIF(nonprod_types, $D20)&gt;0,0, (($F20-$E20)-$G20)*24)</f>
        <v>0</v>
      </c>
      <c r="J20" s="24">
        <f t="shared" si="3"/>
        <v>0</v>
      </c>
    </row>
    <row r="21" spans="1:10" x14ac:dyDescent="0.25">
      <c r="A21" s="3">
        <v>41658</v>
      </c>
      <c r="B21" s="12" t="str">
        <f t="shared" si="0"/>
        <v>Sat</v>
      </c>
      <c r="C21" s="7">
        <f t="shared" si="1"/>
        <v>3</v>
      </c>
      <c r="H21" s="22">
        <f>IF(AND(WEEKDAY($A21,2)&lt;=5,COUNTIF(timeaway_types, $A21)=0),7.8,0)</f>
        <v>0</v>
      </c>
      <c r="I21" s="22">
        <f>IF(COUNTIF(nonprod_types, $D21)&gt;0,0, (($F21-$E21)-$G21)*24)</f>
        <v>0</v>
      </c>
      <c r="J21" s="24">
        <f t="shared" si="3"/>
        <v>0</v>
      </c>
    </row>
    <row r="22" spans="1:10" x14ac:dyDescent="0.25">
      <c r="A22" s="3">
        <v>41659</v>
      </c>
      <c r="B22" s="12" t="str">
        <f t="shared" si="0"/>
        <v>Sun</v>
      </c>
      <c r="C22" s="7">
        <f t="shared" si="1"/>
        <v>3</v>
      </c>
      <c r="H22" s="22">
        <f>IF(AND(WEEKDAY($A22,2)&lt;=5,COUNTIF(timeaway_types, $A22)=0),7.8,0)</f>
        <v>0</v>
      </c>
      <c r="I22" s="22">
        <f>IF(COUNTIF(nonprod_types, $D22)&gt;0,0, (($F22-$E22)-$G22)*24)</f>
        <v>0</v>
      </c>
      <c r="J22" s="24">
        <f t="shared" si="3"/>
        <v>0</v>
      </c>
    </row>
    <row r="23" spans="1:10" x14ac:dyDescent="0.25">
      <c r="A23" s="3">
        <v>41660</v>
      </c>
      <c r="B23" s="12" t="str">
        <f t="shared" si="0"/>
        <v>Mon</v>
      </c>
      <c r="C23" s="7">
        <f t="shared" si="1"/>
        <v>4</v>
      </c>
      <c r="H23" s="22">
        <f>IF(AND(WEEKDAY($A23,2)&lt;=5,COUNTIF(timeaway_types, $A23)=0),7.8,0)</f>
        <v>7.8</v>
      </c>
      <c r="I23" s="22">
        <f>IF(COUNTIF(nonprod_types, $D23)&gt;0,0, (($F23-$E23)-$G23)*24)</f>
        <v>0</v>
      </c>
      <c r="J23" s="24">
        <f t="shared" si="3"/>
        <v>0</v>
      </c>
    </row>
    <row r="24" spans="1:10" x14ac:dyDescent="0.25">
      <c r="A24" s="3">
        <v>41661</v>
      </c>
      <c r="B24" s="12" t="str">
        <f t="shared" si="0"/>
        <v>Tue</v>
      </c>
      <c r="C24" s="7">
        <f t="shared" si="1"/>
        <v>4</v>
      </c>
      <c r="H24" s="22">
        <f>IF(AND(WEEKDAY($A24,2)&lt;=5,COUNTIF(timeaway_types, $A24)=0),7.8,0)</f>
        <v>7.8</v>
      </c>
      <c r="I24" s="22">
        <f>IF(COUNTIF(nonprod_types, $D24)&gt;0,0, (($F24-$E24)-$G24)*24)</f>
        <v>0</v>
      </c>
      <c r="J24" s="24">
        <f t="shared" si="3"/>
        <v>0</v>
      </c>
    </row>
    <row r="25" spans="1:10" x14ac:dyDescent="0.25">
      <c r="A25" s="3">
        <v>41662</v>
      </c>
      <c r="B25" s="12" t="str">
        <f t="shared" si="0"/>
        <v>Wed</v>
      </c>
      <c r="C25" s="7">
        <f t="shared" si="1"/>
        <v>4</v>
      </c>
      <c r="H25" s="22">
        <f>IF(AND(WEEKDAY($A25,2)&lt;=5,COUNTIF(timeaway_types, $A25)=0),7.8,0)</f>
        <v>7.8</v>
      </c>
      <c r="I25" s="22">
        <f>IF(COUNTIF(nonprod_types, $D25)&gt;0,0, (($F25-$E25)-$G25)*24)</f>
        <v>0</v>
      </c>
      <c r="J25" s="24">
        <f t="shared" si="3"/>
        <v>0</v>
      </c>
    </row>
    <row r="26" spans="1:10" x14ac:dyDescent="0.25">
      <c r="A26" s="3">
        <v>41663</v>
      </c>
      <c r="B26" s="12" t="str">
        <f t="shared" si="0"/>
        <v>Thu</v>
      </c>
      <c r="C26" s="7">
        <f t="shared" si="1"/>
        <v>4</v>
      </c>
      <c r="H26" s="22">
        <f>IF(AND(WEEKDAY($A26,2)&lt;=5,COUNTIF(timeaway_types, $A26)=0),7.8,0)</f>
        <v>7.8</v>
      </c>
      <c r="I26" s="22">
        <f>IF(COUNTIF(nonprod_types, $D26)&gt;0,0, (($F26-$E26)-$G26)*24)</f>
        <v>0</v>
      </c>
      <c r="J26" s="24">
        <f t="shared" si="3"/>
        <v>0</v>
      </c>
    </row>
    <row r="27" spans="1:10" x14ac:dyDescent="0.25">
      <c r="A27" s="3">
        <v>41664</v>
      </c>
      <c r="B27" s="12" t="str">
        <f t="shared" si="0"/>
        <v>Fri</v>
      </c>
      <c r="C27" s="7">
        <f t="shared" si="1"/>
        <v>4</v>
      </c>
      <c r="H27" s="22">
        <f>IF(AND(WEEKDAY($A27,2)&lt;=5,COUNTIF(timeaway_types, $A27)=0),7.8,0)</f>
        <v>7.8</v>
      </c>
      <c r="I27" s="22">
        <f>IF(COUNTIF(nonprod_types, $D27)&gt;0,0, (($F27-$E27)-$G27)*24)</f>
        <v>0</v>
      </c>
      <c r="J27" s="24">
        <f t="shared" si="3"/>
        <v>0</v>
      </c>
    </row>
    <row r="28" spans="1:10" x14ac:dyDescent="0.25">
      <c r="A28" s="3">
        <v>41665</v>
      </c>
      <c r="B28" s="12" t="str">
        <f t="shared" si="0"/>
        <v>Sat</v>
      </c>
      <c r="C28" s="7">
        <f t="shared" si="1"/>
        <v>4</v>
      </c>
      <c r="H28" s="22">
        <f>IF(AND(WEEKDAY($A28,2)&lt;=5,COUNTIF(timeaway_types, $A28)=0),7.8,0)</f>
        <v>0</v>
      </c>
      <c r="I28" s="22">
        <f>IF(COUNTIF(nonprod_types, $D28)&gt;0,0, (($F28-$E28)-$G28)*24)</f>
        <v>0</v>
      </c>
      <c r="J28" s="24">
        <f t="shared" si="3"/>
        <v>0</v>
      </c>
    </row>
    <row r="29" spans="1:10" x14ac:dyDescent="0.25">
      <c r="A29" s="3">
        <v>41666</v>
      </c>
      <c r="B29" s="12" t="str">
        <f t="shared" si="0"/>
        <v>Sun</v>
      </c>
      <c r="C29" s="7">
        <f t="shared" si="1"/>
        <v>4</v>
      </c>
      <c r="H29" s="22">
        <f>IF(AND(WEEKDAY($A29,2)&lt;=5,COUNTIF(timeaway_types, $A29)=0),7.8,0)</f>
        <v>0</v>
      </c>
      <c r="I29" s="22">
        <f>IF(COUNTIF(nonprod_types, $D29)&gt;0,0, (($F29-$E29)-$G29)*24)</f>
        <v>0</v>
      </c>
      <c r="J29" s="24">
        <f t="shared" si="3"/>
        <v>0</v>
      </c>
    </row>
    <row r="30" spans="1:10" x14ac:dyDescent="0.25">
      <c r="A30" s="3">
        <v>41667</v>
      </c>
      <c r="B30" s="12" t="str">
        <f t="shared" si="0"/>
        <v>Mon</v>
      </c>
      <c r="C30" s="7">
        <f t="shared" si="1"/>
        <v>5</v>
      </c>
      <c r="H30" s="22">
        <f>IF(AND(WEEKDAY($A30,2)&lt;=5,COUNTIF(timeaway_types, $A30)=0),7.8,0)</f>
        <v>7.8</v>
      </c>
      <c r="I30" s="22">
        <f>IF(COUNTIF(nonprod_types, $D30)&gt;0,0, (($F30-$E30)-$G30)*24)</f>
        <v>0</v>
      </c>
      <c r="J30" s="24">
        <f t="shared" si="3"/>
        <v>0</v>
      </c>
    </row>
    <row r="31" spans="1:10" x14ac:dyDescent="0.25">
      <c r="A31" s="3">
        <v>41668</v>
      </c>
      <c r="B31" s="12" t="str">
        <f t="shared" si="0"/>
        <v>Tue</v>
      </c>
      <c r="C31" s="7">
        <f t="shared" si="1"/>
        <v>5</v>
      </c>
      <c r="H31" s="22">
        <f>IF(AND(WEEKDAY($A31,2)&lt;=5,COUNTIF(timeaway_types, $A31)=0),7.8,0)</f>
        <v>7.8</v>
      </c>
      <c r="I31" s="22">
        <f>IF(COUNTIF(nonprod_types, $D31)&gt;0,0, (($F31-$E31)-$G31)*24)</f>
        <v>0</v>
      </c>
      <c r="J31" s="24">
        <f t="shared" si="3"/>
        <v>0</v>
      </c>
    </row>
    <row r="32" spans="1:10" x14ac:dyDescent="0.25">
      <c r="A32" s="3">
        <v>41669</v>
      </c>
      <c r="B32" s="12" t="str">
        <f t="shared" si="0"/>
        <v>Wed</v>
      </c>
      <c r="C32" s="7">
        <f t="shared" si="1"/>
        <v>5</v>
      </c>
      <c r="H32" s="22">
        <f>IF(AND(WEEKDAY($A32,2)&lt;=5,COUNTIF(timeaway_types, $A32)=0),7.8,0)</f>
        <v>7.8</v>
      </c>
      <c r="I32" s="22">
        <f>IF(COUNTIF(nonprod_types, $D32)&gt;0,0, (($F32-$E32)-$G32)*24)</f>
        <v>0</v>
      </c>
      <c r="J32" s="24">
        <f t="shared" si="3"/>
        <v>0</v>
      </c>
    </row>
    <row r="33" spans="1:10" x14ac:dyDescent="0.25">
      <c r="A33" s="3">
        <v>41670</v>
      </c>
      <c r="B33" s="12" t="str">
        <f t="shared" si="0"/>
        <v>Thu</v>
      </c>
      <c r="C33" s="7">
        <f t="shared" si="1"/>
        <v>5</v>
      </c>
      <c r="H33" s="22">
        <f>IF(AND(WEEKDAY($A33,2)&lt;=5,COUNTIF(timeaway_types, $A33)=0),7.8,0)</f>
        <v>7.8</v>
      </c>
      <c r="I33" s="22">
        <f>IF(COUNTIF(nonprod_types, $D33)&gt;0,0, (($F33-$E33)-$G33)*24)</f>
        <v>0</v>
      </c>
      <c r="J33" s="24">
        <f t="shared" si="3"/>
        <v>0</v>
      </c>
    </row>
    <row r="34" spans="1:10" x14ac:dyDescent="0.25">
      <c r="A34" s="3">
        <v>41671</v>
      </c>
      <c r="B34" s="12" t="str">
        <f t="shared" si="0"/>
        <v>Fri</v>
      </c>
      <c r="C34" s="7">
        <f t="shared" si="1"/>
        <v>5</v>
      </c>
      <c r="H34" s="22">
        <f>IF(AND(WEEKDAY($A34,2)&lt;=5,COUNTIF(timeaway_types, $A34)=0),7.8,0)</f>
        <v>7.8</v>
      </c>
      <c r="I34" s="22">
        <f>IF(COUNTIF(nonprod_types, $D34)&gt;0,0, (($F34-$E34)-$G34)*24)</f>
        <v>0</v>
      </c>
      <c r="J34" s="24">
        <f t="shared" si="3"/>
        <v>0</v>
      </c>
    </row>
    <row r="35" spans="1:10" x14ac:dyDescent="0.25">
      <c r="A35" s="3">
        <v>41672</v>
      </c>
      <c r="B35" s="12" t="str">
        <f t="shared" si="0"/>
        <v>Sat</v>
      </c>
      <c r="C35" s="7">
        <f t="shared" si="1"/>
        <v>5</v>
      </c>
      <c r="H35" s="22">
        <f>IF(AND(WEEKDAY($A35,2)&lt;=5,COUNTIF(timeaway_types, $A35)=0),7.8,0)</f>
        <v>0</v>
      </c>
      <c r="I35" s="22">
        <f>IF(COUNTIF(nonprod_types, $D35)&gt;0,0, (($F35-$E35)-$G35)*24)</f>
        <v>0</v>
      </c>
      <c r="J35" s="24">
        <f t="shared" si="3"/>
        <v>0</v>
      </c>
    </row>
    <row r="36" spans="1:10" x14ac:dyDescent="0.25">
      <c r="A36" s="3">
        <v>41673</v>
      </c>
      <c r="B36" s="12" t="str">
        <f t="shared" si="0"/>
        <v>Sun</v>
      </c>
      <c r="C36" s="7">
        <f t="shared" si="1"/>
        <v>5</v>
      </c>
      <c r="H36" s="22">
        <f>IF(AND(WEEKDAY($A36,2)&lt;=5,COUNTIF(timeaway_types, $A36)=0),7.8,0)</f>
        <v>0</v>
      </c>
      <c r="I36" s="22">
        <f>IF(COUNTIF(nonprod_types, $D36)&gt;0,0, (($F36-$E36)-$G36)*24)</f>
        <v>0</v>
      </c>
      <c r="J36" s="24">
        <f t="shared" si="3"/>
        <v>0</v>
      </c>
    </row>
    <row r="37" spans="1:10" x14ac:dyDescent="0.25">
      <c r="A37" s="3">
        <v>41674</v>
      </c>
      <c r="B37" s="12" t="str">
        <f t="shared" si="0"/>
        <v>Mon</v>
      </c>
      <c r="C37" s="7">
        <f t="shared" si="1"/>
        <v>6</v>
      </c>
      <c r="H37" s="22">
        <f>IF(AND(WEEKDAY($A37,2)&lt;=5,COUNTIF(timeaway_types, $A37)=0),7.8,0)</f>
        <v>7.8</v>
      </c>
      <c r="I37" s="22">
        <f>IF(COUNTIF(nonprod_types, $D37)&gt;0,0, (($F37-$E37)-$G37)*24)</f>
        <v>0</v>
      </c>
      <c r="J37" s="24">
        <f t="shared" si="3"/>
        <v>0</v>
      </c>
    </row>
    <row r="38" spans="1:10" x14ac:dyDescent="0.25">
      <c r="A38" s="3">
        <v>41675</v>
      </c>
      <c r="B38" s="12" t="str">
        <f t="shared" si="0"/>
        <v>Tue</v>
      </c>
      <c r="C38" s="7">
        <f t="shared" si="1"/>
        <v>6</v>
      </c>
      <c r="H38" s="22">
        <f>IF(AND(WEEKDAY($A38,2)&lt;=5,COUNTIF(timeaway_types, $A38)=0),7.8,0)</f>
        <v>7.8</v>
      </c>
      <c r="I38" s="22">
        <f>IF(COUNTIF(nonprod_types, $D38)&gt;0,0, (($F38-$E38)-$G38)*24)</f>
        <v>0</v>
      </c>
      <c r="J38" s="24">
        <f t="shared" si="3"/>
        <v>0</v>
      </c>
    </row>
    <row r="39" spans="1:10" x14ac:dyDescent="0.25">
      <c r="A39" s="3">
        <v>41676</v>
      </c>
      <c r="B39" s="12" t="str">
        <f t="shared" si="0"/>
        <v>Wed</v>
      </c>
      <c r="C39" s="7">
        <f t="shared" si="1"/>
        <v>6</v>
      </c>
      <c r="H39" s="22">
        <f>IF(AND(WEEKDAY($A39,2)&lt;=5,COUNTIF(timeaway_types, $A39)=0),7.8,0)</f>
        <v>7.8</v>
      </c>
      <c r="I39" s="22">
        <f>IF(COUNTIF(nonprod_types, $D39)&gt;0,0, (($F39-$E39)-$G39)*24)</f>
        <v>0</v>
      </c>
      <c r="J39" s="24">
        <f t="shared" si="3"/>
        <v>0</v>
      </c>
    </row>
    <row r="40" spans="1:10" x14ac:dyDescent="0.25">
      <c r="A40" s="3">
        <v>41677</v>
      </c>
      <c r="B40" s="12" t="str">
        <f t="shared" si="0"/>
        <v>Thu</v>
      </c>
      <c r="C40" s="7">
        <f t="shared" si="1"/>
        <v>6</v>
      </c>
      <c r="H40" s="22">
        <f>IF(AND(WEEKDAY($A40,2)&lt;=5,COUNTIF(timeaway_types, $A40)=0),7.8,0)</f>
        <v>7.8</v>
      </c>
      <c r="I40" s="22">
        <f>IF(COUNTIF(nonprod_types, $D40)&gt;0,0, (($F40-$E40)-$G40)*24)</f>
        <v>0</v>
      </c>
      <c r="J40" s="24">
        <f t="shared" si="3"/>
        <v>0</v>
      </c>
    </row>
    <row r="41" spans="1:10" x14ac:dyDescent="0.25">
      <c r="A41" s="3">
        <v>41678</v>
      </c>
      <c r="B41" s="12" t="str">
        <f t="shared" si="0"/>
        <v>Fri</v>
      </c>
      <c r="C41" s="7">
        <f t="shared" si="1"/>
        <v>6</v>
      </c>
      <c r="H41" s="22">
        <f>IF(AND(WEEKDAY($A41,2)&lt;=5,COUNTIF(timeaway_types, $A41)=0),7.8,0)</f>
        <v>7.8</v>
      </c>
      <c r="I41" s="22">
        <f>IF(COUNTIF(nonprod_types, $D41)&gt;0,0, (($F41-$E41)-$G41)*24)</f>
        <v>0</v>
      </c>
      <c r="J41" s="24">
        <f t="shared" si="3"/>
        <v>0</v>
      </c>
    </row>
    <row r="42" spans="1:10" x14ac:dyDescent="0.25">
      <c r="A42" s="3">
        <v>41679</v>
      </c>
      <c r="B42" s="12" t="str">
        <f t="shared" si="0"/>
        <v>Sat</v>
      </c>
      <c r="C42" s="7">
        <f t="shared" si="1"/>
        <v>6</v>
      </c>
      <c r="H42" s="22">
        <f>IF(AND(WEEKDAY($A42,2)&lt;=5,COUNTIF(timeaway_types, $A42)=0),7.8,0)</f>
        <v>0</v>
      </c>
      <c r="I42" s="22">
        <f>IF(COUNTIF(nonprod_types, $D42)&gt;0,0, (($F42-$E42)-$G42)*24)</f>
        <v>0</v>
      </c>
      <c r="J42" s="24">
        <f t="shared" si="3"/>
        <v>0</v>
      </c>
    </row>
    <row r="43" spans="1:10" x14ac:dyDescent="0.25">
      <c r="A43" s="3">
        <v>41680</v>
      </c>
      <c r="B43" s="12" t="str">
        <f t="shared" si="0"/>
        <v>Sun</v>
      </c>
      <c r="C43" s="7">
        <f t="shared" si="1"/>
        <v>6</v>
      </c>
      <c r="H43" s="22">
        <f>IF(AND(WEEKDAY($A43,2)&lt;=5,COUNTIF(timeaway_types, $A43)=0),7.8,0)</f>
        <v>0</v>
      </c>
      <c r="I43" s="22">
        <f>IF(COUNTIF(nonprod_types, $D43)&gt;0,0, (($F43-$E43)-$G43)*24)</f>
        <v>0</v>
      </c>
      <c r="J43" s="24">
        <f t="shared" si="3"/>
        <v>0</v>
      </c>
    </row>
    <row r="44" spans="1:10" x14ac:dyDescent="0.25">
      <c r="A44" s="3">
        <v>41681</v>
      </c>
      <c r="B44" s="12" t="str">
        <f t="shared" si="0"/>
        <v>Mon</v>
      </c>
      <c r="C44" s="7">
        <f t="shared" si="1"/>
        <v>7</v>
      </c>
      <c r="H44" s="22">
        <f>IF(AND(WEEKDAY($A44,2)&lt;=5,COUNTIF(timeaway_types, $A44)=0),7.8,0)</f>
        <v>7.8</v>
      </c>
      <c r="I44" s="22">
        <f>IF(COUNTIF(nonprod_types, $D44)&gt;0,0, (($F44-$E44)-$G44)*24)</f>
        <v>0</v>
      </c>
      <c r="J44" s="24">
        <f t="shared" si="3"/>
        <v>0</v>
      </c>
    </row>
    <row r="45" spans="1:10" x14ac:dyDescent="0.25">
      <c r="A45" s="3">
        <v>41682</v>
      </c>
      <c r="B45" s="12" t="str">
        <f t="shared" si="0"/>
        <v>Tue</v>
      </c>
      <c r="C45" s="7">
        <f t="shared" si="1"/>
        <v>7</v>
      </c>
      <c r="H45" s="22">
        <f>IF(AND(WEEKDAY($A45,2)&lt;=5,COUNTIF(timeaway_types, $A45)=0),7.8,0)</f>
        <v>7.8</v>
      </c>
      <c r="I45" s="22">
        <f>IF(COUNTIF(nonprod_types, $D45)&gt;0,0, (($F45-$E45)-$G45)*24)</f>
        <v>0</v>
      </c>
      <c r="J45" s="24">
        <f t="shared" si="3"/>
        <v>0</v>
      </c>
    </row>
    <row r="46" spans="1:10" x14ac:dyDescent="0.25">
      <c r="A46" s="3">
        <v>41683</v>
      </c>
      <c r="B46" s="12" t="str">
        <f t="shared" si="0"/>
        <v>Wed</v>
      </c>
      <c r="C46" s="7">
        <f t="shared" si="1"/>
        <v>7</v>
      </c>
      <c r="H46" s="22">
        <f>IF(AND(WEEKDAY($A46,2)&lt;=5,COUNTIF(timeaway_types, $A46)=0),7.8,0)</f>
        <v>7.8</v>
      </c>
      <c r="I46" s="22">
        <f>IF(COUNTIF(nonprod_types, $D46)&gt;0,0, (($F46-$E46)-$G46)*24)</f>
        <v>0</v>
      </c>
      <c r="J46" s="24">
        <f t="shared" si="3"/>
        <v>0</v>
      </c>
    </row>
    <row r="47" spans="1:10" x14ac:dyDescent="0.25">
      <c r="A47" s="3">
        <v>41684</v>
      </c>
      <c r="B47" s="12" t="str">
        <f t="shared" si="0"/>
        <v>Thu</v>
      </c>
      <c r="C47" s="7">
        <f t="shared" si="1"/>
        <v>7</v>
      </c>
      <c r="H47" s="22">
        <f>IF(AND(WEEKDAY($A47,2)&lt;=5,COUNTIF(timeaway_types, $A47)=0),7.8,0)</f>
        <v>7.8</v>
      </c>
      <c r="I47" s="22">
        <f>IF(COUNTIF(nonprod_types, $D47)&gt;0,0, (($F47-$E47)-$G47)*24)</f>
        <v>0</v>
      </c>
      <c r="J47" s="24">
        <f t="shared" si="3"/>
        <v>0</v>
      </c>
    </row>
    <row r="48" spans="1:10" x14ac:dyDescent="0.25">
      <c r="A48" s="3">
        <v>41685</v>
      </c>
      <c r="B48" s="12" t="str">
        <f t="shared" si="0"/>
        <v>Fri</v>
      </c>
      <c r="C48" s="7">
        <f t="shared" si="1"/>
        <v>7</v>
      </c>
      <c r="H48" s="22">
        <f>IF(AND(WEEKDAY($A48,2)&lt;=5,COUNTIF(timeaway_types, $A48)=0),7.8,0)</f>
        <v>7.8</v>
      </c>
      <c r="I48" s="22">
        <f>IF(COUNTIF(nonprod_types, $D48)&gt;0,0, (($F48-$E48)-$G48)*24)</f>
        <v>0</v>
      </c>
      <c r="J48" s="24">
        <f t="shared" si="3"/>
        <v>0</v>
      </c>
    </row>
    <row r="49" spans="1:11" x14ac:dyDescent="0.25">
      <c r="A49" s="3">
        <v>41686</v>
      </c>
      <c r="B49" s="12" t="str">
        <f t="shared" si="0"/>
        <v>Sat</v>
      </c>
      <c r="C49" s="7">
        <f t="shared" si="1"/>
        <v>7</v>
      </c>
      <c r="H49" s="22">
        <f>IF(AND(WEEKDAY($A49,2)&lt;=5,COUNTIF(timeaway_types, $A49)=0),7.8,0)</f>
        <v>0</v>
      </c>
      <c r="I49" s="22">
        <f>IF(COUNTIF(nonprod_types, $D49)&gt;0,0, (($F49-$E49)-$G49)*24)</f>
        <v>0</v>
      </c>
      <c r="J49" s="24">
        <f t="shared" si="3"/>
        <v>0</v>
      </c>
    </row>
    <row r="50" spans="1:11" x14ac:dyDescent="0.25">
      <c r="A50" s="3">
        <v>41687</v>
      </c>
      <c r="B50" s="12" t="str">
        <f t="shared" si="0"/>
        <v>Sun</v>
      </c>
      <c r="C50" s="7">
        <f t="shared" si="1"/>
        <v>7</v>
      </c>
      <c r="H50" s="22">
        <f>IF(AND(WEEKDAY($A50,2)&lt;=5,COUNTIF(timeaway_types, $A50)=0),7.8,0)</f>
        <v>0</v>
      </c>
      <c r="I50" s="22">
        <f>IF(COUNTIF(nonprod_types, $D50)&gt;0,0, (($F50-$E50)-$G50)*24)</f>
        <v>0</v>
      </c>
      <c r="J50" s="24">
        <f t="shared" si="3"/>
        <v>0</v>
      </c>
    </row>
    <row r="51" spans="1:11" x14ac:dyDescent="0.25">
      <c r="A51" s="3">
        <v>41688</v>
      </c>
      <c r="B51" s="12" t="str">
        <f t="shared" si="0"/>
        <v>Mon</v>
      </c>
      <c r="C51" s="7">
        <f t="shared" si="1"/>
        <v>8</v>
      </c>
      <c r="H51" s="22">
        <f>IF(AND(WEEKDAY($A51,2)&lt;=5,COUNTIF(timeaway_types, $A51)=0),7.8,0)</f>
        <v>7.8</v>
      </c>
      <c r="I51" s="22">
        <f>IF(COUNTIF(nonprod_types, $D51)&gt;0,0, (($F51-$E51)-$G51)*24)</f>
        <v>0</v>
      </c>
      <c r="J51" s="24">
        <f t="shared" si="3"/>
        <v>0</v>
      </c>
    </row>
    <row r="52" spans="1:11" x14ac:dyDescent="0.25">
      <c r="A52" s="3">
        <v>41689</v>
      </c>
      <c r="B52" s="12" t="str">
        <f t="shared" si="0"/>
        <v>Tue</v>
      </c>
      <c r="C52" s="7">
        <f t="shared" si="1"/>
        <v>8</v>
      </c>
      <c r="H52" s="22">
        <f>IF(AND(WEEKDAY($A52,2)&lt;=5,COUNTIF(timeaway_types, $A52)=0),7.8,0)</f>
        <v>7.8</v>
      </c>
      <c r="I52" s="22">
        <f>IF(COUNTIF(nonprod_types, $D52)&gt;0,0, (($F52-$E52)-$G52)*24)</f>
        <v>0</v>
      </c>
      <c r="J52" s="24">
        <f t="shared" si="3"/>
        <v>0</v>
      </c>
    </row>
    <row r="53" spans="1:11" x14ac:dyDescent="0.25">
      <c r="A53" s="3">
        <v>41690</v>
      </c>
      <c r="B53" s="12" t="str">
        <f t="shared" si="0"/>
        <v>Wed</v>
      </c>
      <c r="C53" s="7">
        <f t="shared" si="1"/>
        <v>8</v>
      </c>
      <c r="H53" s="22">
        <f>IF(AND(WEEKDAY($A53,2)&lt;=5,COUNTIF(timeaway_types, $A53)=0),7.8,0)</f>
        <v>7.8</v>
      </c>
      <c r="I53" s="22">
        <f>IF(COUNTIF(nonprod_types, $D53)&gt;0,0, (($F53-$E53)-$G53)*24)</f>
        <v>0</v>
      </c>
      <c r="J53" s="24">
        <f t="shared" si="3"/>
        <v>0</v>
      </c>
    </row>
    <row r="54" spans="1:11" x14ac:dyDescent="0.25">
      <c r="A54" s="3">
        <v>41691</v>
      </c>
      <c r="B54" s="12" t="str">
        <f t="shared" si="0"/>
        <v>Thu</v>
      </c>
      <c r="C54" s="7">
        <f t="shared" si="1"/>
        <v>8</v>
      </c>
      <c r="H54" s="22">
        <f>IF(AND(WEEKDAY($A54,2)&lt;=5,COUNTIF(timeaway_types, $A54)=0),7.8,0)</f>
        <v>7.8</v>
      </c>
      <c r="I54" s="22">
        <f>IF(COUNTIF(nonprod_types, $D54)&gt;0,0, (($F54-$E54)-$G54)*24)</f>
        <v>0</v>
      </c>
      <c r="J54" s="24">
        <f t="shared" si="3"/>
        <v>0</v>
      </c>
    </row>
    <row r="55" spans="1:11" x14ac:dyDescent="0.25">
      <c r="A55" s="3">
        <v>41692</v>
      </c>
      <c r="B55" s="12" t="str">
        <f t="shared" si="0"/>
        <v>Fri</v>
      </c>
      <c r="C55" s="7">
        <f t="shared" si="1"/>
        <v>8</v>
      </c>
      <c r="H55" s="22">
        <f>IF(AND(WEEKDAY($A55,2)&lt;=5,COUNTIF(timeaway_types, $A55)=0),7.8,0)</f>
        <v>7.8</v>
      </c>
      <c r="I55" s="22">
        <f>IF(COUNTIF(nonprod_types, $D55)&gt;0,0, (($F55-$E55)-$G55)*24)</f>
        <v>0</v>
      </c>
      <c r="J55" s="24">
        <f t="shared" si="3"/>
        <v>0</v>
      </c>
    </row>
    <row r="56" spans="1:11" x14ac:dyDescent="0.25">
      <c r="A56" s="3">
        <v>41693</v>
      </c>
      <c r="B56" s="12" t="str">
        <f t="shared" si="0"/>
        <v>Sat</v>
      </c>
      <c r="C56" s="7">
        <f t="shared" si="1"/>
        <v>8</v>
      </c>
      <c r="H56" s="22">
        <f>IF(AND(WEEKDAY($A56,2)&lt;=5,COUNTIF(timeaway_types, $A56)=0),7.8,0)</f>
        <v>0</v>
      </c>
      <c r="I56" s="22">
        <f>IF(COUNTIF(nonprod_types, $D56)&gt;0,0, (($F56-$E56)-$G56)*24)</f>
        <v>0</v>
      </c>
      <c r="J56" s="24">
        <f t="shared" si="3"/>
        <v>0</v>
      </c>
    </row>
    <row r="57" spans="1:11" x14ac:dyDescent="0.25">
      <c r="A57" s="3">
        <v>41694</v>
      </c>
      <c r="B57" s="12" t="str">
        <f t="shared" si="0"/>
        <v>Sun</v>
      </c>
      <c r="C57" s="7">
        <f t="shared" si="1"/>
        <v>8</v>
      </c>
      <c r="H57" s="22">
        <f>IF(AND(WEEKDAY($A57,2)&lt;=5,COUNTIF(timeaway_types, $A57)=0),7.8,0)</f>
        <v>0</v>
      </c>
      <c r="I57" s="22">
        <f>IF(COUNTIF(nonprod_types, $D57)&gt;0,0, (($F57-$E57)-$G57)*24)</f>
        <v>0</v>
      </c>
      <c r="J57" s="24">
        <f t="shared" si="3"/>
        <v>0</v>
      </c>
      <c r="K57" s="7"/>
    </row>
    <row r="58" spans="1:11" x14ac:dyDescent="0.25">
      <c r="A58" s="3">
        <v>41695</v>
      </c>
      <c r="B58" s="12" t="str">
        <f t="shared" si="0"/>
        <v>Mon</v>
      </c>
      <c r="C58" s="7">
        <f t="shared" si="1"/>
        <v>9</v>
      </c>
      <c r="H58" s="22">
        <f>IF(AND(WEEKDAY($A58,2)&lt;=5,COUNTIF(timeaway_types, $A58)=0),7.8,0)</f>
        <v>7.8</v>
      </c>
      <c r="I58" s="22">
        <f>IF(COUNTIF(nonprod_types, $D58)&gt;0,0, (($F58-$E58)-$G58)*24)</f>
        <v>0</v>
      </c>
      <c r="J58" s="24">
        <f t="shared" si="3"/>
        <v>0</v>
      </c>
    </row>
    <row r="59" spans="1:11" x14ac:dyDescent="0.25">
      <c r="A59" s="3">
        <v>41696</v>
      </c>
      <c r="B59" s="12" t="str">
        <f t="shared" si="0"/>
        <v>Tue</v>
      </c>
      <c r="C59" s="7">
        <f t="shared" si="1"/>
        <v>9</v>
      </c>
      <c r="H59" s="22">
        <f>IF(AND(WEEKDAY($A59,2)&lt;=5,COUNTIF(timeaway_types, $A59)=0),7.8,0)</f>
        <v>7.8</v>
      </c>
      <c r="I59" s="22">
        <f>IF(COUNTIF(nonprod_types, $D59)&gt;0,0, (($F59-$E59)-$G59)*24)</f>
        <v>0</v>
      </c>
      <c r="J59" s="24">
        <f t="shared" si="3"/>
        <v>0</v>
      </c>
    </row>
    <row r="60" spans="1:11" x14ac:dyDescent="0.25">
      <c r="A60" s="3">
        <v>41697</v>
      </c>
      <c r="B60" s="12" t="str">
        <f t="shared" si="0"/>
        <v>Wed</v>
      </c>
      <c r="C60" s="7">
        <f t="shared" si="1"/>
        <v>9</v>
      </c>
      <c r="H60" s="22">
        <f>IF(AND(WEEKDAY($A60,2)&lt;=5,COUNTIF(timeaway_types, $A60)=0),7.8,0)</f>
        <v>7.8</v>
      </c>
      <c r="I60" s="22">
        <f>IF(COUNTIF(nonprod_types, $D60)&gt;0,0, (($F60-$E60)-$G60)*24)</f>
        <v>0</v>
      </c>
      <c r="J60" s="24">
        <f t="shared" si="3"/>
        <v>0</v>
      </c>
    </row>
    <row r="61" spans="1:11" x14ac:dyDescent="0.25">
      <c r="A61" s="3">
        <v>41698</v>
      </c>
      <c r="B61" s="12" t="str">
        <f t="shared" si="0"/>
        <v>Thu</v>
      </c>
      <c r="C61" s="7">
        <f t="shared" si="1"/>
        <v>9</v>
      </c>
      <c r="H61" s="22">
        <f>IF(AND(WEEKDAY($A61,2)&lt;=5,COUNTIF(timeaway_types, $A61)=0),7.8,0)</f>
        <v>7.8</v>
      </c>
      <c r="I61" s="22">
        <f>IF(COUNTIF(nonprod_types, $D61)&gt;0,0, (($F61-$E61)-$G61)*24)</f>
        <v>0</v>
      </c>
      <c r="J61" s="24">
        <f t="shared" si="3"/>
        <v>0</v>
      </c>
    </row>
    <row r="62" spans="1:11" x14ac:dyDescent="0.25">
      <c r="A62" s="3">
        <v>41699</v>
      </c>
      <c r="B62" s="12" t="str">
        <f t="shared" si="0"/>
        <v>Fri</v>
      </c>
      <c r="C62" s="7">
        <f t="shared" si="1"/>
        <v>9</v>
      </c>
      <c r="H62" s="22">
        <f>IF(AND(WEEKDAY($A62,2)&lt;=5,COUNTIF(timeaway_types, $A62)=0),7.8,0)</f>
        <v>7.8</v>
      </c>
      <c r="I62" s="22">
        <f>IF(COUNTIF(nonprod_types, $D62)&gt;0,0, (($F62-$E62)-$G62)*24)</f>
        <v>0</v>
      </c>
      <c r="J62" s="24">
        <f t="shared" si="3"/>
        <v>0</v>
      </c>
    </row>
    <row r="63" spans="1:11" x14ac:dyDescent="0.25">
      <c r="A63" s="3">
        <v>41700</v>
      </c>
      <c r="B63" s="12" t="str">
        <f t="shared" si="0"/>
        <v>Sat</v>
      </c>
      <c r="C63" s="7">
        <f t="shared" si="1"/>
        <v>9</v>
      </c>
      <c r="H63" s="22">
        <f>IF(AND(WEEKDAY($A63,2)&lt;=5,COUNTIF(timeaway_types, $A63)=0),7.8,0)</f>
        <v>0</v>
      </c>
      <c r="I63" s="22">
        <f>IF(COUNTIF(nonprod_types, $D63)&gt;0,0, (($F63-$E63)-$G63)*24)</f>
        <v>0</v>
      </c>
      <c r="J63" s="24">
        <f t="shared" si="3"/>
        <v>0</v>
      </c>
    </row>
    <row r="64" spans="1:11" x14ac:dyDescent="0.25">
      <c r="A64" s="3">
        <v>41701</v>
      </c>
      <c r="B64" s="12" t="str">
        <f t="shared" si="0"/>
        <v>Sun</v>
      </c>
      <c r="C64" s="7">
        <f t="shared" si="1"/>
        <v>9</v>
      </c>
      <c r="H64" s="22">
        <f>IF(AND(WEEKDAY($A64,2)&lt;=5,COUNTIF(timeaway_types, $A64)=0),7.8,0)</f>
        <v>0</v>
      </c>
      <c r="I64" s="22">
        <f>IF(COUNTIF(nonprod_types, $D64)&gt;0,0, (($F64-$E64)-$G64)*24)</f>
        <v>0</v>
      </c>
      <c r="J64" s="24">
        <f t="shared" si="3"/>
        <v>0</v>
      </c>
    </row>
    <row r="65" spans="1:10" x14ac:dyDescent="0.25">
      <c r="A65" s="3">
        <v>41702</v>
      </c>
      <c r="B65" s="12" t="str">
        <f t="shared" si="0"/>
        <v>Mon</v>
      </c>
      <c r="C65" s="7">
        <f t="shared" si="1"/>
        <v>10</v>
      </c>
      <c r="H65" s="22">
        <f>IF(AND(WEEKDAY($A65,2)&lt;=5,COUNTIF(timeaway_types, $A65)=0),7.8,0)</f>
        <v>7.8</v>
      </c>
      <c r="I65" s="22">
        <f>IF(COUNTIF(nonprod_types, $D65)&gt;0,0, (($F65-$E65)-$G65)*24)</f>
        <v>0</v>
      </c>
      <c r="J65" s="24">
        <f t="shared" si="3"/>
        <v>0</v>
      </c>
    </row>
    <row r="66" spans="1:10" x14ac:dyDescent="0.25">
      <c r="A66" s="3">
        <v>41703</v>
      </c>
      <c r="B66" s="12" t="str">
        <f t="shared" ref="B66:B129" si="4">CHOOSE(WEEKDAY($A66,2),"Mon","Tue","Wed","Thu","Fri","Sat","Sun")</f>
        <v>Tue</v>
      </c>
      <c r="C66" s="7">
        <f t="shared" ref="C66:C129" si="5">_xlfn.ISOWEEKNUM($A66)</f>
        <v>10</v>
      </c>
      <c r="H66" s="22">
        <f>IF(AND(WEEKDAY($A66,2)&lt;=5,COUNTIF(timeaway_types, $A66)=0),7.8,0)</f>
        <v>7.8</v>
      </c>
      <c r="I66" s="22">
        <f>IF(COUNTIF(nonprod_types, $D66)&gt;0,0, (($F66-$E66)-$G66)*24)</f>
        <v>0</v>
      </c>
      <c r="J66" s="24">
        <f t="shared" ref="J66:J129" si="6">IF(D66="",0,$I66-$H66)</f>
        <v>0</v>
      </c>
    </row>
    <row r="67" spans="1:10" x14ac:dyDescent="0.25">
      <c r="A67" s="3">
        <v>41704</v>
      </c>
      <c r="B67" s="12" t="str">
        <f t="shared" si="4"/>
        <v>Wed</v>
      </c>
      <c r="C67" s="7">
        <f t="shared" si="5"/>
        <v>10</v>
      </c>
      <c r="H67" s="22">
        <f>IF(AND(WEEKDAY($A67,2)&lt;=5,COUNTIF(timeaway_types, $A67)=0),7.8,0)</f>
        <v>7.8</v>
      </c>
      <c r="I67" s="22">
        <f>IF(COUNTIF(nonprod_types, $D67)&gt;0,0, (($F67-$E67)-$G67)*24)</f>
        <v>0</v>
      </c>
      <c r="J67" s="24">
        <f t="shared" si="6"/>
        <v>0</v>
      </c>
    </row>
    <row r="68" spans="1:10" x14ac:dyDescent="0.25">
      <c r="A68" s="3">
        <v>41705</v>
      </c>
      <c r="B68" s="12" t="str">
        <f t="shared" si="4"/>
        <v>Thu</v>
      </c>
      <c r="C68" s="7">
        <f t="shared" si="5"/>
        <v>10</v>
      </c>
      <c r="H68" s="22">
        <f>IF(AND(WEEKDAY($A68,2)&lt;=5,COUNTIF(timeaway_types, $A68)=0),7.8,0)</f>
        <v>7.8</v>
      </c>
      <c r="I68" s="22">
        <f>IF(COUNTIF(nonprod_types, $D68)&gt;0,0, (($F68-$E68)-$G68)*24)</f>
        <v>0</v>
      </c>
      <c r="J68" s="24">
        <f t="shared" si="6"/>
        <v>0</v>
      </c>
    </row>
    <row r="69" spans="1:10" x14ac:dyDescent="0.25">
      <c r="A69" s="3">
        <v>41706</v>
      </c>
      <c r="B69" s="12" t="str">
        <f t="shared" si="4"/>
        <v>Fri</v>
      </c>
      <c r="C69" s="7">
        <f t="shared" si="5"/>
        <v>10</v>
      </c>
      <c r="H69" s="22">
        <f>IF(AND(WEEKDAY($A69,2)&lt;=5,COUNTIF(timeaway_types, $A69)=0),7.8,0)</f>
        <v>7.8</v>
      </c>
      <c r="I69" s="22">
        <f>IF(COUNTIF(nonprod_types, $D69)&gt;0,0, (($F69-$E69)-$G69)*24)</f>
        <v>0</v>
      </c>
      <c r="J69" s="24">
        <f t="shared" si="6"/>
        <v>0</v>
      </c>
    </row>
    <row r="70" spans="1:10" x14ac:dyDescent="0.25">
      <c r="A70" s="3">
        <v>41707</v>
      </c>
      <c r="B70" s="12" t="str">
        <f t="shared" si="4"/>
        <v>Sat</v>
      </c>
      <c r="C70" s="7">
        <f t="shared" si="5"/>
        <v>10</v>
      </c>
      <c r="H70" s="22">
        <f>IF(AND(WEEKDAY($A70,2)&lt;=5,COUNTIF(timeaway_types, $A70)=0),7.8,0)</f>
        <v>0</v>
      </c>
      <c r="I70" s="22">
        <f>IF(COUNTIF(nonprod_types, $D70)&gt;0,0, (($F70-$E70)-$G70)*24)</f>
        <v>0</v>
      </c>
      <c r="J70" s="24">
        <f t="shared" si="6"/>
        <v>0</v>
      </c>
    </row>
    <row r="71" spans="1:10" x14ac:dyDescent="0.25">
      <c r="A71" s="3">
        <v>41708</v>
      </c>
      <c r="B71" s="12" t="str">
        <f t="shared" si="4"/>
        <v>Sun</v>
      </c>
      <c r="C71" s="7">
        <f t="shared" si="5"/>
        <v>10</v>
      </c>
      <c r="H71" s="22">
        <f>IF(AND(WEEKDAY($A71,2)&lt;=5,COUNTIF(timeaway_types, $A71)=0),7.8,0)</f>
        <v>0</v>
      </c>
      <c r="I71" s="22">
        <f>IF(COUNTIF(nonprod_types, $D71)&gt;0,0, (($F71-$E71)-$G71)*24)</f>
        <v>0</v>
      </c>
      <c r="J71" s="24">
        <f t="shared" si="6"/>
        <v>0</v>
      </c>
    </row>
    <row r="72" spans="1:10" x14ac:dyDescent="0.25">
      <c r="A72" s="3">
        <v>41709</v>
      </c>
      <c r="B72" s="12" t="str">
        <f t="shared" si="4"/>
        <v>Mon</v>
      </c>
      <c r="C72" s="7">
        <f t="shared" si="5"/>
        <v>11</v>
      </c>
      <c r="H72" s="22">
        <f>IF(AND(WEEKDAY($A72,2)&lt;=5,COUNTIF(timeaway_types, $A72)=0),7.8,0)</f>
        <v>7.8</v>
      </c>
      <c r="I72" s="22">
        <f>IF(COUNTIF(nonprod_types, $D72)&gt;0,0, (($F72-$E72)-$G72)*24)</f>
        <v>0</v>
      </c>
      <c r="J72" s="24">
        <f t="shared" si="6"/>
        <v>0</v>
      </c>
    </row>
    <row r="73" spans="1:10" x14ac:dyDescent="0.25">
      <c r="A73" s="3">
        <v>41710</v>
      </c>
      <c r="B73" s="12" t="str">
        <f t="shared" si="4"/>
        <v>Tue</v>
      </c>
      <c r="C73" s="7">
        <f t="shared" si="5"/>
        <v>11</v>
      </c>
      <c r="H73" s="22">
        <f>IF(AND(WEEKDAY($A73,2)&lt;=5,COUNTIF(timeaway_types, $A73)=0),7.8,0)</f>
        <v>7.8</v>
      </c>
      <c r="I73" s="22">
        <f>IF(COUNTIF(nonprod_types, $D73)&gt;0,0, (($F73-$E73)-$G73)*24)</f>
        <v>0</v>
      </c>
      <c r="J73" s="24">
        <f t="shared" si="6"/>
        <v>0</v>
      </c>
    </row>
    <row r="74" spans="1:10" x14ac:dyDescent="0.25">
      <c r="A74" s="3">
        <v>41711</v>
      </c>
      <c r="B74" s="12" t="str">
        <f t="shared" si="4"/>
        <v>Wed</v>
      </c>
      <c r="C74" s="7">
        <f t="shared" si="5"/>
        <v>11</v>
      </c>
      <c r="H74" s="22">
        <f>IF(AND(WEEKDAY($A74,2)&lt;=5,COUNTIF(timeaway_types, $A74)=0),7.8,0)</f>
        <v>7.8</v>
      </c>
      <c r="I74" s="22">
        <f>IF(COUNTIF(nonprod_types, $D74)&gt;0,0, (($F74-$E74)-$G74)*24)</f>
        <v>0</v>
      </c>
      <c r="J74" s="24">
        <f t="shared" si="6"/>
        <v>0</v>
      </c>
    </row>
    <row r="75" spans="1:10" x14ac:dyDescent="0.25">
      <c r="A75" s="3">
        <v>41712</v>
      </c>
      <c r="B75" s="12" t="str">
        <f t="shared" si="4"/>
        <v>Thu</v>
      </c>
      <c r="C75" s="7">
        <f t="shared" si="5"/>
        <v>11</v>
      </c>
      <c r="H75" s="22">
        <f>IF(AND(WEEKDAY($A75,2)&lt;=5,COUNTIF(timeaway_types, $A75)=0),7.8,0)</f>
        <v>7.8</v>
      </c>
      <c r="I75" s="22">
        <f>IF(COUNTIF(nonprod_types, $D75)&gt;0,0, (($F75-$E75)-$G75)*24)</f>
        <v>0</v>
      </c>
      <c r="J75" s="24">
        <f t="shared" si="6"/>
        <v>0</v>
      </c>
    </row>
    <row r="76" spans="1:10" x14ac:dyDescent="0.25">
      <c r="A76" s="3">
        <v>41713</v>
      </c>
      <c r="B76" s="12" t="str">
        <f t="shared" si="4"/>
        <v>Fri</v>
      </c>
      <c r="C76" s="7">
        <f t="shared" si="5"/>
        <v>11</v>
      </c>
      <c r="H76" s="22">
        <f>IF(AND(WEEKDAY($A76,2)&lt;=5,COUNTIF(timeaway_types, $A76)=0),7.8,0)</f>
        <v>7.8</v>
      </c>
      <c r="I76" s="22">
        <f>IF(COUNTIF(nonprod_types, $D76)&gt;0,0, (($F76-$E76)-$G76)*24)</f>
        <v>0</v>
      </c>
      <c r="J76" s="24">
        <f t="shared" si="6"/>
        <v>0</v>
      </c>
    </row>
    <row r="77" spans="1:10" x14ac:dyDescent="0.25">
      <c r="A77" s="3">
        <v>41714</v>
      </c>
      <c r="B77" s="12" t="str">
        <f t="shared" si="4"/>
        <v>Sat</v>
      </c>
      <c r="C77" s="7">
        <f t="shared" si="5"/>
        <v>11</v>
      </c>
      <c r="H77" s="22">
        <f>IF(AND(WEEKDAY($A77,2)&lt;=5,COUNTIF(timeaway_types, $A77)=0),7.8,0)</f>
        <v>0</v>
      </c>
      <c r="I77" s="22">
        <f>IF(COUNTIF(nonprod_types, $D77)&gt;0,0, (($F77-$E77)-$G77)*24)</f>
        <v>0</v>
      </c>
      <c r="J77" s="24">
        <f t="shared" si="6"/>
        <v>0</v>
      </c>
    </row>
    <row r="78" spans="1:10" x14ac:dyDescent="0.25">
      <c r="A78" s="3">
        <v>41715</v>
      </c>
      <c r="B78" s="12" t="str">
        <f t="shared" si="4"/>
        <v>Sun</v>
      </c>
      <c r="C78" s="7">
        <f t="shared" si="5"/>
        <v>11</v>
      </c>
      <c r="H78" s="22">
        <f>IF(AND(WEEKDAY($A78,2)&lt;=5,COUNTIF(timeaway_types, $A78)=0),7.8,0)</f>
        <v>0</v>
      </c>
      <c r="I78" s="22">
        <f>IF(COUNTIF(nonprod_types, $D78)&gt;0,0, (($F78-$E78)-$G78)*24)</f>
        <v>0</v>
      </c>
      <c r="J78" s="24">
        <f t="shared" si="6"/>
        <v>0</v>
      </c>
    </row>
    <row r="79" spans="1:10" x14ac:dyDescent="0.25">
      <c r="A79" s="3">
        <v>41716</v>
      </c>
      <c r="B79" s="12" t="str">
        <f t="shared" si="4"/>
        <v>Mon</v>
      </c>
      <c r="C79" s="7">
        <f t="shared" si="5"/>
        <v>12</v>
      </c>
      <c r="H79" s="22">
        <f>IF(AND(WEEKDAY($A79,2)&lt;=5,COUNTIF(timeaway_types, $A79)=0),7.8,0)</f>
        <v>7.8</v>
      </c>
      <c r="I79" s="22">
        <f>IF(COUNTIF(nonprod_types, $D79)&gt;0,0, (($F79-$E79)-$G79)*24)</f>
        <v>0</v>
      </c>
      <c r="J79" s="24">
        <f t="shared" si="6"/>
        <v>0</v>
      </c>
    </row>
    <row r="80" spans="1:10" x14ac:dyDescent="0.25">
      <c r="A80" s="3">
        <v>41717</v>
      </c>
      <c r="B80" s="12" t="str">
        <f t="shared" si="4"/>
        <v>Tue</v>
      </c>
      <c r="C80" s="7">
        <f t="shared" si="5"/>
        <v>12</v>
      </c>
      <c r="H80" s="22">
        <f>IF(AND(WEEKDAY($A80,2)&lt;=5,COUNTIF(timeaway_types, $A80)=0),7.8,0)</f>
        <v>7.8</v>
      </c>
      <c r="I80" s="22">
        <f>IF(COUNTIF(nonprod_types, $D80)&gt;0,0, (($F80-$E80)-$G80)*24)</f>
        <v>0</v>
      </c>
      <c r="J80" s="24">
        <f t="shared" si="6"/>
        <v>0</v>
      </c>
    </row>
    <row r="81" spans="1:10" x14ac:dyDescent="0.25">
      <c r="A81" s="3">
        <v>41718</v>
      </c>
      <c r="B81" s="12" t="str">
        <f t="shared" si="4"/>
        <v>Wed</v>
      </c>
      <c r="C81" s="7">
        <f t="shared" si="5"/>
        <v>12</v>
      </c>
      <c r="H81" s="22">
        <f>IF(AND(WEEKDAY($A81,2)&lt;=5,COUNTIF(timeaway_types, $A81)=0),7.8,0)</f>
        <v>7.8</v>
      </c>
      <c r="I81" s="22">
        <f>IF(COUNTIF(nonprod_types, $D81)&gt;0,0, (($F81-$E81)-$G81)*24)</f>
        <v>0</v>
      </c>
      <c r="J81" s="24">
        <f t="shared" si="6"/>
        <v>0</v>
      </c>
    </row>
    <row r="82" spans="1:10" x14ac:dyDescent="0.25">
      <c r="A82" s="3">
        <v>41719</v>
      </c>
      <c r="B82" s="12" t="str">
        <f t="shared" si="4"/>
        <v>Thu</v>
      </c>
      <c r="C82" s="7">
        <f t="shared" si="5"/>
        <v>12</v>
      </c>
      <c r="H82" s="22">
        <f>IF(AND(WEEKDAY($A82,2)&lt;=5,COUNTIF(timeaway_types, $A82)=0),7.8,0)</f>
        <v>7.8</v>
      </c>
      <c r="I82" s="22">
        <f>IF(COUNTIF(nonprod_types, $D82)&gt;0,0, (($F82-$E82)-$G82)*24)</f>
        <v>0</v>
      </c>
      <c r="J82" s="24">
        <f t="shared" si="6"/>
        <v>0</v>
      </c>
    </row>
    <row r="83" spans="1:10" x14ac:dyDescent="0.25">
      <c r="A83" s="3">
        <v>41720</v>
      </c>
      <c r="B83" s="12" t="str">
        <f t="shared" si="4"/>
        <v>Fri</v>
      </c>
      <c r="C83" s="7">
        <f t="shared" si="5"/>
        <v>12</v>
      </c>
      <c r="H83" s="22">
        <f>IF(AND(WEEKDAY($A83,2)&lt;=5,COUNTIF(timeaway_types, $A83)=0),7.8,0)</f>
        <v>7.8</v>
      </c>
      <c r="I83" s="22">
        <f>IF(COUNTIF(nonprod_types, $D83)&gt;0,0, (($F83-$E83)-$G83)*24)</f>
        <v>0</v>
      </c>
      <c r="J83" s="24">
        <f t="shared" si="6"/>
        <v>0</v>
      </c>
    </row>
    <row r="84" spans="1:10" x14ac:dyDescent="0.25">
      <c r="A84" s="3">
        <v>41721</v>
      </c>
      <c r="B84" s="12" t="str">
        <f t="shared" si="4"/>
        <v>Sat</v>
      </c>
      <c r="C84" s="7">
        <f t="shared" si="5"/>
        <v>12</v>
      </c>
      <c r="H84" s="22">
        <f>IF(AND(WEEKDAY($A84,2)&lt;=5,COUNTIF(timeaway_types, $A84)=0),7.8,0)</f>
        <v>0</v>
      </c>
      <c r="I84" s="22">
        <f>IF(COUNTIF(nonprod_types, $D84)&gt;0,0, (($F84-$E84)-$G84)*24)</f>
        <v>0</v>
      </c>
      <c r="J84" s="24">
        <f t="shared" si="6"/>
        <v>0</v>
      </c>
    </row>
    <row r="85" spans="1:10" x14ac:dyDescent="0.25">
      <c r="A85" s="3">
        <v>41722</v>
      </c>
      <c r="B85" s="12" t="str">
        <f t="shared" si="4"/>
        <v>Sun</v>
      </c>
      <c r="C85" s="7">
        <f t="shared" si="5"/>
        <v>12</v>
      </c>
      <c r="H85" s="22">
        <f>IF(AND(WEEKDAY($A85,2)&lt;=5,COUNTIF(timeaway_types, $A85)=0),7.8,0)</f>
        <v>0</v>
      </c>
      <c r="I85" s="22">
        <f>IF(COUNTIF(nonprod_types, $D85)&gt;0,0, (($F85-$E85)-$G85)*24)</f>
        <v>0</v>
      </c>
      <c r="J85" s="24">
        <f t="shared" si="6"/>
        <v>0</v>
      </c>
    </row>
    <row r="86" spans="1:10" x14ac:dyDescent="0.25">
      <c r="A86" s="3">
        <v>41723</v>
      </c>
      <c r="B86" s="12" t="str">
        <f t="shared" si="4"/>
        <v>Mon</v>
      </c>
      <c r="C86" s="7">
        <f t="shared" si="5"/>
        <v>13</v>
      </c>
      <c r="H86" s="22">
        <f>IF(AND(WEEKDAY($A86,2)&lt;=5,COUNTIF(timeaway_types, $A86)=0),7.8,0)</f>
        <v>7.8</v>
      </c>
      <c r="I86" s="22">
        <f>IF(COUNTIF(nonprod_types, $D86)&gt;0,0, (($F86-$E86)-$G86)*24)</f>
        <v>0</v>
      </c>
      <c r="J86" s="24">
        <f t="shared" si="6"/>
        <v>0</v>
      </c>
    </row>
    <row r="87" spans="1:10" x14ac:dyDescent="0.25">
      <c r="A87" s="3">
        <v>41724</v>
      </c>
      <c r="B87" s="12" t="str">
        <f t="shared" si="4"/>
        <v>Tue</v>
      </c>
      <c r="C87" s="7">
        <f t="shared" si="5"/>
        <v>13</v>
      </c>
      <c r="H87" s="22">
        <f>IF(AND(WEEKDAY($A87,2)&lt;=5,COUNTIF(timeaway_types, $A87)=0),7.8,0)</f>
        <v>7.8</v>
      </c>
      <c r="I87" s="22">
        <f>IF(COUNTIF(nonprod_types, $D87)&gt;0,0, (($F87-$E87)-$G87)*24)</f>
        <v>0</v>
      </c>
      <c r="J87" s="24">
        <f t="shared" si="6"/>
        <v>0</v>
      </c>
    </row>
    <row r="88" spans="1:10" x14ac:dyDescent="0.25">
      <c r="A88" s="3">
        <v>41725</v>
      </c>
      <c r="B88" s="12" t="str">
        <f t="shared" si="4"/>
        <v>Wed</v>
      </c>
      <c r="C88" s="7">
        <f t="shared" si="5"/>
        <v>13</v>
      </c>
      <c r="H88" s="22">
        <f>IF(AND(WEEKDAY($A88,2)&lt;=5,COUNTIF(timeaway_types, $A88)=0),7.8,0)</f>
        <v>7.8</v>
      </c>
      <c r="I88" s="22">
        <f>IF(COUNTIF(nonprod_types, $D88)&gt;0,0, (($F88-$E88)-$G88)*24)</f>
        <v>0</v>
      </c>
      <c r="J88" s="24">
        <f t="shared" si="6"/>
        <v>0</v>
      </c>
    </row>
    <row r="89" spans="1:10" x14ac:dyDescent="0.25">
      <c r="A89" s="3">
        <v>41726</v>
      </c>
      <c r="B89" s="12" t="str">
        <f t="shared" si="4"/>
        <v>Thu</v>
      </c>
      <c r="C89" s="7">
        <f t="shared" si="5"/>
        <v>13</v>
      </c>
      <c r="H89" s="22">
        <f>IF(AND(WEEKDAY($A89,2)&lt;=5,COUNTIF(timeaway_types, $A89)=0),7.8,0)</f>
        <v>7.8</v>
      </c>
      <c r="I89" s="22">
        <f>IF(COUNTIF(nonprod_types, $D89)&gt;0,0, (($F89-$E89)-$G89)*24)</f>
        <v>0</v>
      </c>
      <c r="J89" s="24">
        <f t="shared" si="6"/>
        <v>0</v>
      </c>
    </row>
    <row r="90" spans="1:10" x14ac:dyDescent="0.25">
      <c r="A90" s="3">
        <v>41727</v>
      </c>
      <c r="B90" s="12" t="str">
        <f t="shared" si="4"/>
        <v>Fri</v>
      </c>
      <c r="C90" s="7">
        <f t="shared" si="5"/>
        <v>13</v>
      </c>
      <c r="H90" s="22">
        <f>IF(AND(WEEKDAY($A90,2)&lt;=5,COUNTIF(timeaway_types, $A90)=0),7.8,0)</f>
        <v>7.8</v>
      </c>
      <c r="I90" s="22">
        <f>IF(COUNTIF(nonprod_types, $D90)&gt;0,0, (($F90-$E90)-$G90)*24)</f>
        <v>0</v>
      </c>
      <c r="J90" s="24">
        <f t="shared" si="6"/>
        <v>0</v>
      </c>
    </row>
    <row r="91" spans="1:10" x14ac:dyDescent="0.25">
      <c r="A91" s="3">
        <v>41728</v>
      </c>
      <c r="B91" s="12" t="str">
        <f t="shared" si="4"/>
        <v>Sat</v>
      </c>
      <c r="C91" s="7">
        <f t="shared" si="5"/>
        <v>13</v>
      </c>
      <c r="H91" s="22">
        <f>IF(AND(WEEKDAY($A91,2)&lt;=5,COUNTIF(timeaway_types, $A91)=0),7.8,0)</f>
        <v>0</v>
      </c>
      <c r="I91" s="22">
        <f>IF(COUNTIF(nonprod_types, $D91)&gt;0,0, (($F91-$E91)-$G91)*24)</f>
        <v>0</v>
      </c>
      <c r="J91" s="24">
        <f t="shared" si="6"/>
        <v>0</v>
      </c>
    </row>
    <row r="92" spans="1:10" x14ac:dyDescent="0.25">
      <c r="A92" s="3">
        <v>41729</v>
      </c>
      <c r="B92" s="12" t="str">
        <f t="shared" si="4"/>
        <v>Sun</v>
      </c>
      <c r="C92" s="7">
        <f t="shared" si="5"/>
        <v>13</v>
      </c>
      <c r="H92" s="22">
        <f>IF(AND(WEEKDAY($A92,2)&lt;=5,COUNTIF(timeaway_types, $A92)=0),7.8,0)</f>
        <v>0</v>
      </c>
      <c r="I92" s="22">
        <f>IF(COUNTIF(nonprod_types, $D92)&gt;0,0, (($F92-$E92)-$G92)*24)</f>
        <v>0</v>
      </c>
      <c r="J92" s="24">
        <f t="shared" si="6"/>
        <v>0</v>
      </c>
    </row>
    <row r="93" spans="1:10" x14ac:dyDescent="0.25">
      <c r="A93" s="3">
        <v>41730</v>
      </c>
      <c r="B93" s="12" t="str">
        <f t="shared" si="4"/>
        <v>Mon</v>
      </c>
      <c r="C93" s="7">
        <f t="shared" si="5"/>
        <v>14</v>
      </c>
      <c r="H93" s="22">
        <f>IF(AND(WEEKDAY($A93,2)&lt;=5,COUNTIF(timeaway_types, $A93)=0),7.8,0)</f>
        <v>7.8</v>
      </c>
      <c r="I93" s="22">
        <f>IF(COUNTIF(nonprod_types, $D93)&gt;0,0, (($F93-$E93)-$G93)*24)</f>
        <v>0</v>
      </c>
      <c r="J93" s="24">
        <f t="shared" si="6"/>
        <v>0</v>
      </c>
    </row>
    <row r="94" spans="1:10" x14ac:dyDescent="0.25">
      <c r="A94" s="3">
        <v>41731</v>
      </c>
      <c r="B94" s="12" t="str">
        <f t="shared" si="4"/>
        <v>Tue</v>
      </c>
      <c r="C94" s="7">
        <f t="shared" si="5"/>
        <v>14</v>
      </c>
      <c r="H94" s="22">
        <f>IF(AND(WEEKDAY($A94,2)&lt;=5,COUNTIF(timeaway_types, $A94)=0),7.8,0)</f>
        <v>7.8</v>
      </c>
      <c r="I94" s="22">
        <f>IF(COUNTIF(nonprod_types, $D94)&gt;0,0, (($F94-$E94)-$G94)*24)</f>
        <v>0</v>
      </c>
      <c r="J94" s="24">
        <f t="shared" si="6"/>
        <v>0</v>
      </c>
    </row>
    <row r="95" spans="1:10" x14ac:dyDescent="0.25">
      <c r="A95" s="3">
        <v>41732</v>
      </c>
      <c r="B95" s="12" t="str">
        <f t="shared" si="4"/>
        <v>Wed</v>
      </c>
      <c r="C95" s="7">
        <f t="shared" si="5"/>
        <v>14</v>
      </c>
      <c r="H95" s="22">
        <f>IF(AND(WEEKDAY($A95,2)&lt;=5,COUNTIF(timeaway_types, $A95)=0),7.8,0)</f>
        <v>7.8</v>
      </c>
      <c r="I95" s="22">
        <f>IF(COUNTIF(nonprod_types, $D95)&gt;0,0, (($F95-$E95)-$G95)*24)</f>
        <v>0</v>
      </c>
      <c r="J95" s="24">
        <f t="shared" si="6"/>
        <v>0</v>
      </c>
    </row>
    <row r="96" spans="1:10" x14ac:dyDescent="0.25">
      <c r="A96" s="3">
        <v>41733</v>
      </c>
      <c r="B96" s="12" t="str">
        <f t="shared" si="4"/>
        <v>Thu</v>
      </c>
      <c r="C96" s="7">
        <f t="shared" si="5"/>
        <v>14</v>
      </c>
      <c r="H96" s="22">
        <f>IF(AND(WEEKDAY($A96,2)&lt;=5,COUNTIF(timeaway_types, $A96)=0),7.8,0)</f>
        <v>7.8</v>
      </c>
      <c r="I96" s="22">
        <f>IF(COUNTIF(nonprod_types, $D96)&gt;0,0, (($F96-$E96)-$G96)*24)</f>
        <v>0</v>
      </c>
      <c r="J96" s="24">
        <f t="shared" si="6"/>
        <v>0</v>
      </c>
    </row>
    <row r="97" spans="1:10" x14ac:dyDescent="0.25">
      <c r="A97" s="3">
        <v>41734</v>
      </c>
      <c r="B97" s="12" t="str">
        <f t="shared" si="4"/>
        <v>Fri</v>
      </c>
      <c r="C97" s="7">
        <f t="shared" si="5"/>
        <v>14</v>
      </c>
      <c r="H97" s="22">
        <f>IF(AND(WEEKDAY($A97,2)&lt;=5,COUNTIF(timeaway_types, $A97)=0),7.8,0)</f>
        <v>7.8</v>
      </c>
      <c r="I97" s="22">
        <f>IF(COUNTIF(nonprod_types, $D97)&gt;0,0, (($F97-$E97)-$G97)*24)</f>
        <v>0</v>
      </c>
      <c r="J97" s="24">
        <f t="shared" si="6"/>
        <v>0</v>
      </c>
    </row>
    <row r="98" spans="1:10" x14ac:dyDescent="0.25">
      <c r="A98" s="3">
        <v>41735</v>
      </c>
      <c r="B98" s="12" t="str">
        <f t="shared" si="4"/>
        <v>Sat</v>
      </c>
      <c r="C98" s="7">
        <f t="shared" si="5"/>
        <v>14</v>
      </c>
      <c r="H98" s="22">
        <f>IF(AND(WEEKDAY($A98,2)&lt;=5,COUNTIF(timeaway_types, $A98)=0),7.8,0)</f>
        <v>0</v>
      </c>
      <c r="I98" s="22">
        <f>IF(COUNTIF(nonprod_types, $D98)&gt;0,0, (($F98-$E98)-$G98)*24)</f>
        <v>0</v>
      </c>
      <c r="J98" s="24">
        <f t="shared" si="6"/>
        <v>0</v>
      </c>
    </row>
    <row r="99" spans="1:10" x14ac:dyDescent="0.25">
      <c r="A99" s="3">
        <v>41736</v>
      </c>
      <c r="B99" s="12" t="str">
        <f t="shared" si="4"/>
        <v>Sun</v>
      </c>
      <c r="C99" s="7">
        <f t="shared" si="5"/>
        <v>14</v>
      </c>
      <c r="H99" s="22">
        <f>IF(AND(WEEKDAY($A99,2)&lt;=5,COUNTIF(timeaway_types, $A99)=0),7.8,0)</f>
        <v>0</v>
      </c>
      <c r="I99" s="22">
        <f>IF(COUNTIF(nonprod_types, $D99)&gt;0,0, (($F99-$E99)-$G99)*24)</f>
        <v>0</v>
      </c>
      <c r="J99" s="24">
        <f t="shared" si="6"/>
        <v>0</v>
      </c>
    </row>
    <row r="100" spans="1:10" x14ac:dyDescent="0.25">
      <c r="A100" s="3">
        <v>41737</v>
      </c>
      <c r="B100" s="12" t="str">
        <f t="shared" si="4"/>
        <v>Mon</v>
      </c>
      <c r="C100" s="7">
        <f t="shared" si="5"/>
        <v>15</v>
      </c>
      <c r="H100" s="22">
        <f>IF(AND(WEEKDAY($A100,2)&lt;=5,COUNTIF(timeaway_types, $A100)=0),7.8,0)</f>
        <v>7.8</v>
      </c>
      <c r="I100" s="22">
        <f>IF(COUNTIF(nonprod_types, $D100)&gt;0,0, (($F100-$E100)-$G100)*24)</f>
        <v>0</v>
      </c>
      <c r="J100" s="24">
        <f t="shared" si="6"/>
        <v>0</v>
      </c>
    </row>
    <row r="101" spans="1:10" x14ac:dyDescent="0.25">
      <c r="A101" s="3">
        <v>41738</v>
      </c>
      <c r="B101" s="12" t="str">
        <f t="shared" si="4"/>
        <v>Tue</v>
      </c>
      <c r="C101" s="7">
        <f t="shared" si="5"/>
        <v>15</v>
      </c>
      <c r="H101" s="22">
        <f>IF(AND(WEEKDAY($A101,2)&lt;=5,COUNTIF(timeaway_types, $A101)=0),7.8,0)</f>
        <v>7.8</v>
      </c>
      <c r="I101" s="22">
        <f>IF(COUNTIF(nonprod_types, $D101)&gt;0,0, (($F101-$E101)-$G101)*24)</f>
        <v>0</v>
      </c>
      <c r="J101" s="24">
        <f t="shared" si="6"/>
        <v>0</v>
      </c>
    </row>
    <row r="102" spans="1:10" x14ac:dyDescent="0.25">
      <c r="A102" s="3">
        <v>41739</v>
      </c>
      <c r="B102" s="12" t="str">
        <f t="shared" si="4"/>
        <v>Wed</v>
      </c>
      <c r="C102" s="7">
        <f t="shared" si="5"/>
        <v>15</v>
      </c>
      <c r="H102" s="22">
        <f>IF(AND(WEEKDAY($A102,2)&lt;=5,COUNTIF(timeaway_types, $A102)=0),7.8,0)</f>
        <v>7.8</v>
      </c>
      <c r="I102" s="22">
        <f>IF(COUNTIF(nonprod_types, $D102)&gt;0,0, (($F102-$E102)-$G102)*24)</f>
        <v>0</v>
      </c>
      <c r="J102" s="24">
        <f t="shared" si="6"/>
        <v>0</v>
      </c>
    </row>
    <row r="103" spans="1:10" x14ac:dyDescent="0.25">
      <c r="A103" s="3">
        <v>41740</v>
      </c>
      <c r="B103" s="12" t="str">
        <f t="shared" si="4"/>
        <v>Thu</v>
      </c>
      <c r="C103" s="7">
        <f t="shared" si="5"/>
        <v>15</v>
      </c>
      <c r="H103" s="22">
        <f>IF(AND(WEEKDAY($A103,2)&lt;=5,COUNTIF(timeaway_types, $A103)=0),7.8,0)</f>
        <v>7.8</v>
      </c>
      <c r="I103" s="22">
        <f>IF(COUNTIF(nonprod_types, $D103)&gt;0,0, (($F103-$E103)-$G103)*24)</f>
        <v>0</v>
      </c>
      <c r="J103" s="24">
        <f t="shared" si="6"/>
        <v>0</v>
      </c>
    </row>
    <row r="104" spans="1:10" x14ac:dyDescent="0.25">
      <c r="A104" s="3">
        <v>41741</v>
      </c>
      <c r="B104" s="12" t="str">
        <f t="shared" si="4"/>
        <v>Fri</v>
      </c>
      <c r="C104" s="7">
        <f t="shared" si="5"/>
        <v>15</v>
      </c>
      <c r="H104" s="22">
        <f>IF(AND(WEEKDAY($A104,2)&lt;=5,COUNTIF(timeaway_types, $A104)=0),7.8,0)</f>
        <v>7.8</v>
      </c>
      <c r="I104" s="22">
        <f>IF(COUNTIF(nonprod_types, $D104)&gt;0,0, (($F104-$E104)-$G104)*24)</f>
        <v>0</v>
      </c>
      <c r="J104" s="24">
        <f t="shared" si="6"/>
        <v>0</v>
      </c>
    </row>
    <row r="105" spans="1:10" x14ac:dyDescent="0.25">
      <c r="A105" s="3">
        <v>41742</v>
      </c>
      <c r="B105" s="12" t="str">
        <f t="shared" si="4"/>
        <v>Sat</v>
      </c>
      <c r="C105" s="7">
        <f t="shared" si="5"/>
        <v>15</v>
      </c>
      <c r="H105" s="22">
        <f>IF(AND(WEEKDAY($A105,2)&lt;=5,COUNTIF(timeaway_types, $A105)=0),7.8,0)</f>
        <v>0</v>
      </c>
      <c r="I105" s="22">
        <f>IF(COUNTIF(nonprod_types, $D105)&gt;0,0, (($F105-$E105)-$G105)*24)</f>
        <v>0</v>
      </c>
      <c r="J105" s="24">
        <f t="shared" si="6"/>
        <v>0</v>
      </c>
    </row>
    <row r="106" spans="1:10" x14ac:dyDescent="0.25">
      <c r="A106" s="3">
        <v>41743</v>
      </c>
      <c r="B106" s="12" t="str">
        <f t="shared" si="4"/>
        <v>Sun</v>
      </c>
      <c r="C106" s="7">
        <f t="shared" si="5"/>
        <v>15</v>
      </c>
      <c r="H106" s="22">
        <f>IF(AND(WEEKDAY($A106,2)&lt;=5,COUNTIF(timeaway_types, $A106)=0),7.8,0)</f>
        <v>0</v>
      </c>
      <c r="I106" s="22">
        <f>IF(COUNTIF(nonprod_types, $D106)&gt;0,0, (($F106-$E106)-$G106)*24)</f>
        <v>0</v>
      </c>
      <c r="J106" s="24">
        <f t="shared" si="6"/>
        <v>0</v>
      </c>
    </row>
    <row r="107" spans="1:10" x14ac:dyDescent="0.25">
      <c r="A107" s="3">
        <v>41744</v>
      </c>
      <c r="B107" s="12" t="str">
        <f t="shared" si="4"/>
        <v>Mon</v>
      </c>
      <c r="C107" s="7">
        <f t="shared" si="5"/>
        <v>16</v>
      </c>
      <c r="H107" s="22">
        <f>IF(AND(WEEKDAY($A107,2)&lt;=5,COUNTIF(timeaway_types, $A107)=0),7.8,0)</f>
        <v>7.8</v>
      </c>
      <c r="I107" s="22">
        <f>IF(COUNTIF(nonprod_types, $D107)&gt;0,0, (($F107-$E107)-$G107)*24)</f>
        <v>0</v>
      </c>
      <c r="J107" s="24">
        <f t="shared" si="6"/>
        <v>0</v>
      </c>
    </row>
    <row r="108" spans="1:10" x14ac:dyDescent="0.25">
      <c r="A108" s="3">
        <v>41745</v>
      </c>
      <c r="B108" s="12" t="str">
        <f t="shared" si="4"/>
        <v>Tue</v>
      </c>
      <c r="C108" s="7">
        <f t="shared" si="5"/>
        <v>16</v>
      </c>
      <c r="H108" s="22">
        <f>IF(AND(WEEKDAY($A108,2)&lt;=5,COUNTIF(timeaway_types, $A108)=0),7.8,0)</f>
        <v>7.8</v>
      </c>
      <c r="I108" s="22">
        <f>IF(COUNTIF(nonprod_types, $D108)&gt;0,0, (($F108-$E108)-$G108)*24)</f>
        <v>0</v>
      </c>
      <c r="J108" s="24">
        <f t="shared" si="6"/>
        <v>0</v>
      </c>
    </row>
    <row r="109" spans="1:10" x14ac:dyDescent="0.25">
      <c r="A109" s="3">
        <v>41746</v>
      </c>
      <c r="B109" s="12" t="str">
        <f t="shared" si="4"/>
        <v>Wed</v>
      </c>
      <c r="C109" s="7">
        <f t="shared" si="5"/>
        <v>16</v>
      </c>
      <c r="H109" s="22">
        <f>IF(AND(WEEKDAY($A109,2)&lt;=5,COUNTIF(timeaway_types, $A109)=0),7.8,0)</f>
        <v>7.8</v>
      </c>
      <c r="I109" s="22">
        <f>IF(COUNTIF(nonprod_types, $D109)&gt;0,0, (($F109-$E109)-$G109)*24)</f>
        <v>0</v>
      </c>
      <c r="J109" s="24">
        <f t="shared" si="6"/>
        <v>0</v>
      </c>
    </row>
    <row r="110" spans="1:10" x14ac:dyDescent="0.25">
      <c r="A110" s="3">
        <v>41747</v>
      </c>
      <c r="B110" s="12" t="str">
        <f t="shared" si="4"/>
        <v>Thu</v>
      </c>
      <c r="C110" s="7">
        <f t="shared" si="5"/>
        <v>16</v>
      </c>
      <c r="H110" s="22">
        <f>IF(AND(WEEKDAY($A110,2)&lt;=5,COUNTIF(timeaway_types, $A110)=0),7.8,0)</f>
        <v>7.8</v>
      </c>
      <c r="I110" s="22">
        <f>IF(COUNTIF(nonprod_types, $D110)&gt;0,0, (($F110-$E110)-$G110)*24)</f>
        <v>0</v>
      </c>
      <c r="J110" s="24">
        <f t="shared" si="6"/>
        <v>0</v>
      </c>
    </row>
    <row r="111" spans="1:10" x14ac:dyDescent="0.25">
      <c r="A111" s="3">
        <v>41748</v>
      </c>
      <c r="B111" s="12" t="str">
        <f t="shared" si="4"/>
        <v>Fri</v>
      </c>
      <c r="C111" s="7">
        <f t="shared" si="5"/>
        <v>16</v>
      </c>
      <c r="H111" s="22">
        <f>IF(AND(WEEKDAY($A111,2)&lt;=5,COUNTIF(timeaway_types, $A111)=0),7.8,0)</f>
        <v>7.8</v>
      </c>
      <c r="I111" s="22">
        <f>IF(COUNTIF(nonprod_types, $D111)&gt;0,0, (($F111-$E111)-$G111)*24)</f>
        <v>0</v>
      </c>
      <c r="J111" s="24">
        <f t="shared" si="6"/>
        <v>0</v>
      </c>
    </row>
    <row r="112" spans="1:10" x14ac:dyDescent="0.25">
      <c r="A112" s="3">
        <v>41749</v>
      </c>
      <c r="B112" s="12" t="str">
        <f t="shared" si="4"/>
        <v>Sat</v>
      </c>
      <c r="C112" s="7">
        <f t="shared" si="5"/>
        <v>16</v>
      </c>
      <c r="H112" s="22">
        <f>IF(AND(WEEKDAY($A112,2)&lt;=5,COUNTIF(timeaway_types, $A112)=0),7.8,0)</f>
        <v>0</v>
      </c>
      <c r="I112" s="22">
        <f>IF(COUNTIF(nonprod_types, $D112)&gt;0,0, (($F112-$E112)-$G112)*24)</f>
        <v>0</v>
      </c>
      <c r="J112" s="24">
        <f t="shared" si="6"/>
        <v>0</v>
      </c>
    </row>
    <row r="113" spans="1:10" x14ac:dyDescent="0.25">
      <c r="A113" s="3">
        <v>41750</v>
      </c>
      <c r="B113" s="12" t="str">
        <f t="shared" si="4"/>
        <v>Sun</v>
      </c>
      <c r="C113" s="7">
        <f t="shared" si="5"/>
        <v>16</v>
      </c>
      <c r="H113" s="22">
        <f>IF(AND(WEEKDAY($A113,2)&lt;=5,COUNTIF(timeaway_types, $A113)=0),7.8,0)</f>
        <v>0</v>
      </c>
      <c r="I113" s="22">
        <f>IF(COUNTIF(nonprod_types, $D113)&gt;0,0, (($F113-$E113)-$G113)*24)</f>
        <v>0</v>
      </c>
      <c r="J113" s="24">
        <f t="shared" si="6"/>
        <v>0</v>
      </c>
    </row>
    <row r="114" spans="1:10" x14ac:dyDescent="0.25">
      <c r="A114" s="3">
        <v>41751</v>
      </c>
      <c r="B114" s="12" t="str">
        <f t="shared" si="4"/>
        <v>Mon</v>
      </c>
      <c r="C114" s="7">
        <f t="shared" si="5"/>
        <v>17</v>
      </c>
      <c r="H114" s="22">
        <f>IF(AND(WEEKDAY($A114,2)&lt;=5,COUNTIF(timeaway_types, $A114)=0),7.8,0)</f>
        <v>7.8</v>
      </c>
      <c r="I114" s="22">
        <f>IF(COUNTIF(nonprod_types, $D114)&gt;0,0, (($F114-$E114)-$G114)*24)</f>
        <v>0</v>
      </c>
      <c r="J114" s="24">
        <f t="shared" si="6"/>
        <v>0</v>
      </c>
    </row>
    <row r="115" spans="1:10" x14ac:dyDescent="0.25">
      <c r="A115" s="3">
        <v>41752</v>
      </c>
      <c r="B115" s="12" t="str">
        <f t="shared" si="4"/>
        <v>Tue</v>
      </c>
      <c r="C115" s="7">
        <f t="shared" si="5"/>
        <v>17</v>
      </c>
      <c r="H115" s="22">
        <f>IF(AND(WEEKDAY($A115,2)&lt;=5,COUNTIF(timeaway_types, $A115)=0),7.8,0)</f>
        <v>7.8</v>
      </c>
      <c r="I115" s="22">
        <f>IF(COUNTIF(nonprod_types, $D115)&gt;0,0, (($F115-$E115)-$G115)*24)</f>
        <v>0</v>
      </c>
      <c r="J115" s="24">
        <f t="shared" si="6"/>
        <v>0</v>
      </c>
    </row>
    <row r="116" spans="1:10" x14ac:dyDescent="0.25">
      <c r="A116" s="3">
        <v>41753</v>
      </c>
      <c r="B116" s="12" t="str">
        <f t="shared" si="4"/>
        <v>Wed</v>
      </c>
      <c r="C116" s="7">
        <f t="shared" si="5"/>
        <v>17</v>
      </c>
      <c r="H116" s="22">
        <f>IF(AND(WEEKDAY($A116,2)&lt;=5,COUNTIF(timeaway_types, $A116)=0),7.8,0)</f>
        <v>7.8</v>
      </c>
      <c r="I116" s="22">
        <f>IF(COUNTIF(nonprod_types, $D116)&gt;0,0, (($F116-$E116)-$G116)*24)</f>
        <v>0</v>
      </c>
      <c r="J116" s="24">
        <f t="shared" si="6"/>
        <v>0</v>
      </c>
    </row>
    <row r="117" spans="1:10" x14ac:dyDescent="0.25">
      <c r="A117" s="3">
        <v>41754</v>
      </c>
      <c r="B117" s="12" t="str">
        <f t="shared" si="4"/>
        <v>Thu</v>
      </c>
      <c r="C117" s="7">
        <f t="shared" si="5"/>
        <v>17</v>
      </c>
      <c r="H117" s="22">
        <f>IF(AND(WEEKDAY($A117,2)&lt;=5,COUNTIF(timeaway_types, $A117)=0),7.8,0)</f>
        <v>7.8</v>
      </c>
      <c r="I117" s="22">
        <f>IF(COUNTIF(nonprod_types, $D117)&gt;0,0, (($F117-$E117)-$G117)*24)</f>
        <v>0</v>
      </c>
      <c r="J117" s="24">
        <f t="shared" si="6"/>
        <v>0</v>
      </c>
    </row>
    <row r="118" spans="1:10" x14ac:dyDescent="0.25">
      <c r="A118" s="3">
        <v>41755</v>
      </c>
      <c r="B118" s="12" t="str">
        <f t="shared" si="4"/>
        <v>Fri</v>
      </c>
      <c r="C118" s="7">
        <f t="shared" si="5"/>
        <v>17</v>
      </c>
      <c r="H118" s="22">
        <f>IF(AND(WEEKDAY($A118,2)&lt;=5,COUNTIF(timeaway_types, $A118)=0),7.8,0)</f>
        <v>7.8</v>
      </c>
      <c r="I118" s="22">
        <f>IF(COUNTIF(nonprod_types, $D118)&gt;0,0, (($F118-$E118)-$G118)*24)</f>
        <v>0</v>
      </c>
      <c r="J118" s="24">
        <f t="shared" si="6"/>
        <v>0</v>
      </c>
    </row>
    <row r="119" spans="1:10" x14ac:dyDescent="0.25">
      <c r="A119" s="3">
        <v>41756</v>
      </c>
      <c r="B119" s="12" t="str">
        <f t="shared" si="4"/>
        <v>Sat</v>
      </c>
      <c r="C119" s="7">
        <f t="shared" si="5"/>
        <v>17</v>
      </c>
      <c r="H119" s="22">
        <f>IF(AND(WEEKDAY($A119,2)&lt;=5,COUNTIF(timeaway_types, $A119)=0),7.8,0)</f>
        <v>0</v>
      </c>
      <c r="I119" s="22">
        <f>IF(COUNTIF(nonprod_types, $D119)&gt;0,0, (($F119-$E119)-$G119)*24)</f>
        <v>0</v>
      </c>
      <c r="J119" s="24">
        <f t="shared" si="6"/>
        <v>0</v>
      </c>
    </row>
    <row r="120" spans="1:10" x14ac:dyDescent="0.25">
      <c r="A120" s="3">
        <v>41757</v>
      </c>
      <c r="B120" s="12" t="str">
        <f t="shared" si="4"/>
        <v>Sun</v>
      </c>
      <c r="C120" s="7">
        <f t="shared" si="5"/>
        <v>17</v>
      </c>
      <c r="H120" s="22">
        <f>IF(AND(WEEKDAY($A120,2)&lt;=5,COUNTIF(timeaway_types, $A120)=0),7.8,0)</f>
        <v>0</v>
      </c>
      <c r="I120" s="22">
        <f>IF(COUNTIF(nonprod_types, $D120)&gt;0,0, (($F120-$E120)-$G120)*24)</f>
        <v>0</v>
      </c>
      <c r="J120" s="24">
        <f t="shared" si="6"/>
        <v>0</v>
      </c>
    </row>
    <row r="121" spans="1:10" x14ac:dyDescent="0.25">
      <c r="A121" s="3">
        <v>41758</v>
      </c>
      <c r="B121" s="12" t="str">
        <f t="shared" si="4"/>
        <v>Mon</v>
      </c>
      <c r="C121" s="7">
        <f t="shared" si="5"/>
        <v>18</v>
      </c>
      <c r="H121" s="22">
        <f>IF(AND(WEEKDAY($A121,2)&lt;=5,COUNTIF(timeaway_types, $A121)=0),7.8,0)</f>
        <v>7.8</v>
      </c>
      <c r="I121" s="22">
        <f>IF(COUNTIF(nonprod_types, $D121)&gt;0,0, (($F121-$E121)-$G121)*24)</f>
        <v>0</v>
      </c>
      <c r="J121" s="24">
        <f t="shared" si="6"/>
        <v>0</v>
      </c>
    </row>
    <row r="122" spans="1:10" x14ac:dyDescent="0.25">
      <c r="A122" s="3">
        <v>41759</v>
      </c>
      <c r="B122" s="12" t="str">
        <f t="shared" si="4"/>
        <v>Tue</v>
      </c>
      <c r="C122" s="7">
        <f t="shared" si="5"/>
        <v>18</v>
      </c>
      <c r="H122" s="22">
        <f>IF(AND(WEEKDAY($A122,2)&lt;=5,COUNTIF(timeaway_types, $A122)=0),7.8,0)</f>
        <v>7.8</v>
      </c>
      <c r="I122" s="22">
        <f>IF(COUNTIF(nonprod_types, $D122)&gt;0,0, (($F122-$E122)-$G122)*24)</f>
        <v>0</v>
      </c>
      <c r="J122" s="24">
        <f t="shared" si="6"/>
        <v>0</v>
      </c>
    </row>
    <row r="123" spans="1:10" x14ac:dyDescent="0.25">
      <c r="A123" s="3">
        <v>41760</v>
      </c>
      <c r="B123" s="12" t="str">
        <f t="shared" si="4"/>
        <v>Wed</v>
      </c>
      <c r="C123" s="7">
        <f t="shared" si="5"/>
        <v>18</v>
      </c>
      <c r="H123" s="22">
        <f>IF(AND(WEEKDAY($A123,2)&lt;=5,COUNTIF(timeaway_types, $A123)=0),7.8,0)</f>
        <v>7.8</v>
      </c>
      <c r="I123" s="22">
        <f>IF(COUNTIF(nonprod_types, $D123)&gt;0,0, (($F123-$E123)-$G123)*24)</f>
        <v>0</v>
      </c>
      <c r="J123" s="24">
        <f t="shared" si="6"/>
        <v>0</v>
      </c>
    </row>
    <row r="124" spans="1:10" x14ac:dyDescent="0.25">
      <c r="A124" s="3">
        <v>41761</v>
      </c>
      <c r="B124" s="12" t="str">
        <f t="shared" si="4"/>
        <v>Thu</v>
      </c>
      <c r="C124" s="7">
        <f t="shared" si="5"/>
        <v>18</v>
      </c>
      <c r="H124" s="22">
        <f>IF(AND(WEEKDAY($A124,2)&lt;=5,COUNTIF(timeaway_types, $A124)=0),7.8,0)</f>
        <v>7.8</v>
      </c>
      <c r="I124" s="22">
        <f>IF(COUNTIF(nonprod_types, $D124)&gt;0,0, (($F124-$E124)-$G124)*24)</f>
        <v>0</v>
      </c>
      <c r="J124" s="24">
        <f t="shared" si="6"/>
        <v>0</v>
      </c>
    </row>
    <row r="125" spans="1:10" x14ac:dyDescent="0.25">
      <c r="A125" s="3">
        <v>41762</v>
      </c>
      <c r="B125" s="12" t="str">
        <f t="shared" si="4"/>
        <v>Fri</v>
      </c>
      <c r="C125" s="7">
        <f t="shared" si="5"/>
        <v>18</v>
      </c>
      <c r="H125" s="22">
        <f>IF(AND(WEEKDAY($A125,2)&lt;=5,COUNTIF(timeaway_types, $A125)=0),7.8,0)</f>
        <v>7.8</v>
      </c>
      <c r="I125" s="22">
        <f>IF(COUNTIF(nonprod_types, $D125)&gt;0,0, (($F125-$E125)-$G125)*24)</f>
        <v>0</v>
      </c>
      <c r="J125" s="24">
        <f t="shared" si="6"/>
        <v>0</v>
      </c>
    </row>
    <row r="126" spans="1:10" x14ac:dyDescent="0.25">
      <c r="A126" s="3">
        <v>41763</v>
      </c>
      <c r="B126" s="12" t="str">
        <f t="shared" si="4"/>
        <v>Sat</v>
      </c>
      <c r="C126" s="7">
        <f t="shared" si="5"/>
        <v>18</v>
      </c>
      <c r="H126" s="22">
        <f>IF(AND(WEEKDAY($A126,2)&lt;=5,COUNTIF(timeaway_types, $A126)=0),7.8,0)</f>
        <v>0</v>
      </c>
      <c r="I126" s="22">
        <f>IF(COUNTIF(nonprod_types, $D126)&gt;0,0, (($F126-$E126)-$G126)*24)</f>
        <v>0</v>
      </c>
      <c r="J126" s="24">
        <f t="shared" si="6"/>
        <v>0</v>
      </c>
    </row>
    <row r="127" spans="1:10" x14ac:dyDescent="0.25">
      <c r="A127" s="3">
        <v>41764</v>
      </c>
      <c r="B127" s="12" t="str">
        <f t="shared" si="4"/>
        <v>Sun</v>
      </c>
      <c r="C127" s="7">
        <f t="shared" si="5"/>
        <v>18</v>
      </c>
      <c r="H127" s="22">
        <f>IF(AND(WEEKDAY($A127,2)&lt;=5,COUNTIF(timeaway_types, $A127)=0),7.8,0)</f>
        <v>0</v>
      </c>
      <c r="I127" s="22">
        <f>IF(COUNTIF(nonprod_types, $D127)&gt;0,0, (($F127-$E127)-$G127)*24)</f>
        <v>0</v>
      </c>
      <c r="J127" s="24">
        <f t="shared" si="6"/>
        <v>0</v>
      </c>
    </row>
    <row r="128" spans="1:10" x14ac:dyDescent="0.25">
      <c r="A128" s="3">
        <v>41765</v>
      </c>
      <c r="B128" s="12" t="str">
        <f t="shared" si="4"/>
        <v>Mon</v>
      </c>
      <c r="C128" s="7">
        <f t="shared" si="5"/>
        <v>19</v>
      </c>
      <c r="H128" s="22">
        <f>IF(AND(WEEKDAY($A128,2)&lt;=5,COUNTIF(timeaway_types, $A128)=0),7.8,0)</f>
        <v>7.8</v>
      </c>
      <c r="I128" s="22">
        <f>IF(COUNTIF(nonprod_types, $D128)&gt;0,0, (($F128-$E128)-$G128)*24)</f>
        <v>0</v>
      </c>
      <c r="J128" s="24">
        <f t="shared" si="6"/>
        <v>0</v>
      </c>
    </row>
    <row r="129" spans="1:10" x14ac:dyDescent="0.25">
      <c r="A129" s="3">
        <v>41766</v>
      </c>
      <c r="B129" s="12" t="str">
        <f t="shared" si="4"/>
        <v>Tue</v>
      </c>
      <c r="C129" s="7">
        <f t="shared" si="5"/>
        <v>19</v>
      </c>
      <c r="H129" s="22">
        <f>IF(AND(WEEKDAY($A129,2)&lt;=5,COUNTIF(timeaway_types, $A129)=0),7.8,0)</f>
        <v>7.8</v>
      </c>
      <c r="I129" s="22">
        <f>IF(COUNTIF(nonprod_types, $D129)&gt;0,0, (($F129-$E129)-$G129)*24)</f>
        <v>0</v>
      </c>
      <c r="J129" s="24">
        <f t="shared" si="6"/>
        <v>0</v>
      </c>
    </row>
    <row r="130" spans="1:10" x14ac:dyDescent="0.25">
      <c r="A130" s="3">
        <v>41767</v>
      </c>
      <c r="B130" s="12" t="str">
        <f t="shared" ref="B130:B193" si="7">CHOOSE(WEEKDAY($A130,2),"Mon","Tue","Wed","Thu","Fri","Sat","Sun")</f>
        <v>Wed</v>
      </c>
      <c r="C130" s="7">
        <f t="shared" ref="C130:C193" si="8">_xlfn.ISOWEEKNUM($A130)</f>
        <v>19</v>
      </c>
      <c r="H130" s="22">
        <f>IF(AND(WEEKDAY($A130,2)&lt;=5,COUNTIF(timeaway_types, $A130)=0),7.8,0)</f>
        <v>7.8</v>
      </c>
      <c r="I130" s="22">
        <f>IF(COUNTIF(nonprod_types, $D130)&gt;0,0, (($F130-$E130)-$G130)*24)</f>
        <v>0</v>
      </c>
      <c r="J130" s="24">
        <f t="shared" ref="J130:J193" si="9">IF(D130="",0,$I130-$H130)</f>
        <v>0</v>
      </c>
    </row>
    <row r="131" spans="1:10" x14ac:dyDescent="0.25">
      <c r="A131" s="3">
        <v>41768</v>
      </c>
      <c r="B131" s="12" t="str">
        <f t="shared" si="7"/>
        <v>Thu</v>
      </c>
      <c r="C131" s="7">
        <f t="shared" si="8"/>
        <v>19</v>
      </c>
      <c r="H131" s="22">
        <f>IF(AND(WEEKDAY($A131,2)&lt;=5,COUNTIF(timeaway_types, $A131)=0),7.8,0)</f>
        <v>7.8</v>
      </c>
      <c r="I131" s="22">
        <f>IF(COUNTIF(nonprod_types, $D131)&gt;0,0, (($F131-$E131)-$G131)*24)</f>
        <v>0</v>
      </c>
      <c r="J131" s="24">
        <f t="shared" si="9"/>
        <v>0</v>
      </c>
    </row>
    <row r="132" spans="1:10" x14ac:dyDescent="0.25">
      <c r="A132" s="3">
        <v>41769</v>
      </c>
      <c r="B132" s="12" t="str">
        <f t="shared" si="7"/>
        <v>Fri</v>
      </c>
      <c r="C132" s="7">
        <f t="shared" si="8"/>
        <v>19</v>
      </c>
      <c r="H132" s="22">
        <f>IF(AND(WEEKDAY($A132,2)&lt;=5,COUNTIF(timeaway_types, $A132)=0),7.8,0)</f>
        <v>7.8</v>
      </c>
      <c r="I132" s="22">
        <f>IF(COUNTIF(nonprod_types, $D132)&gt;0,0, (($F132-$E132)-$G132)*24)</f>
        <v>0</v>
      </c>
      <c r="J132" s="24">
        <f t="shared" si="9"/>
        <v>0</v>
      </c>
    </row>
    <row r="133" spans="1:10" x14ac:dyDescent="0.25">
      <c r="A133" s="3">
        <v>41770</v>
      </c>
      <c r="B133" s="12" t="str">
        <f t="shared" si="7"/>
        <v>Sat</v>
      </c>
      <c r="C133" s="7">
        <f t="shared" si="8"/>
        <v>19</v>
      </c>
      <c r="H133" s="22">
        <f>IF(AND(WEEKDAY($A133,2)&lt;=5,COUNTIF(timeaway_types, $A133)=0),7.8,0)</f>
        <v>0</v>
      </c>
      <c r="I133" s="22">
        <f>IF(COUNTIF(nonprod_types, $D133)&gt;0,0, (($F133-$E133)-$G133)*24)</f>
        <v>0</v>
      </c>
      <c r="J133" s="24">
        <f t="shared" si="9"/>
        <v>0</v>
      </c>
    </row>
    <row r="134" spans="1:10" x14ac:dyDescent="0.25">
      <c r="A134" s="3">
        <v>41771</v>
      </c>
      <c r="B134" s="12" t="str">
        <f t="shared" si="7"/>
        <v>Sun</v>
      </c>
      <c r="C134" s="7">
        <f t="shared" si="8"/>
        <v>19</v>
      </c>
      <c r="H134" s="22">
        <f>IF(AND(WEEKDAY($A134,2)&lt;=5,COUNTIF(timeaway_types, $A134)=0),7.8,0)</f>
        <v>0</v>
      </c>
      <c r="I134" s="22">
        <f>IF(COUNTIF(nonprod_types, $D134)&gt;0,0, (($F134-$E134)-$G134)*24)</f>
        <v>0</v>
      </c>
      <c r="J134" s="24">
        <f t="shared" si="9"/>
        <v>0</v>
      </c>
    </row>
    <row r="135" spans="1:10" x14ac:dyDescent="0.25">
      <c r="A135" s="3">
        <v>41772</v>
      </c>
      <c r="B135" s="12" t="str">
        <f t="shared" si="7"/>
        <v>Mon</v>
      </c>
      <c r="C135" s="7">
        <f t="shared" si="8"/>
        <v>20</v>
      </c>
      <c r="H135" s="22">
        <f>IF(AND(WEEKDAY($A135,2)&lt;=5,COUNTIF(timeaway_types, $A135)=0),7.8,0)</f>
        <v>7.8</v>
      </c>
      <c r="I135" s="22">
        <f>IF(COUNTIF(nonprod_types, $D135)&gt;0,0, (($F135-$E135)-$G135)*24)</f>
        <v>0</v>
      </c>
      <c r="J135" s="24">
        <f t="shared" si="9"/>
        <v>0</v>
      </c>
    </row>
    <row r="136" spans="1:10" x14ac:dyDescent="0.25">
      <c r="A136" s="3">
        <v>41773</v>
      </c>
      <c r="B136" s="12" t="str">
        <f t="shared" si="7"/>
        <v>Tue</v>
      </c>
      <c r="C136" s="7">
        <f t="shared" si="8"/>
        <v>20</v>
      </c>
      <c r="H136" s="22">
        <f>IF(AND(WEEKDAY($A136,2)&lt;=5,COUNTIF(timeaway_types, $A136)=0),7.8,0)</f>
        <v>7.8</v>
      </c>
      <c r="I136" s="22">
        <f>IF(COUNTIF(nonprod_types, $D136)&gt;0,0, (($F136-$E136)-$G136)*24)</f>
        <v>0</v>
      </c>
      <c r="J136" s="24">
        <f t="shared" si="9"/>
        <v>0</v>
      </c>
    </row>
    <row r="137" spans="1:10" x14ac:dyDescent="0.25">
      <c r="A137" s="3">
        <v>41774</v>
      </c>
      <c r="B137" s="12" t="str">
        <f t="shared" si="7"/>
        <v>Wed</v>
      </c>
      <c r="C137" s="7">
        <f t="shared" si="8"/>
        <v>20</v>
      </c>
      <c r="H137" s="22">
        <f>IF(AND(WEEKDAY($A137,2)&lt;=5,COUNTIF(timeaway_types, $A137)=0),7.8,0)</f>
        <v>7.8</v>
      </c>
      <c r="I137" s="22">
        <f>IF(COUNTIF(nonprod_types, $D137)&gt;0,0, (($F137-$E137)-$G137)*24)</f>
        <v>0</v>
      </c>
      <c r="J137" s="24">
        <f t="shared" si="9"/>
        <v>0</v>
      </c>
    </row>
    <row r="138" spans="1:10" x14ac:dyDescent="0.25">
      <c r="A138" s="3">
        <v>41775</v>
      </c>
      <c r="B138" s="12" t="str">
        <f t="shared" si="7"/>
        <v>Thu</v>
      </c>
      <c r="C138" s="7">
        <f t="shared" si="8"/>
        <v>20</v>
      </c>
      <c r="H138" s="22">
        <f>IF(AND(WEEKDAY($A138,2)&lt;=5,COUNTIF(timeaway_types, $A138)=0),7.8,0)</f>
        <v>7.8</v>
      </c>
      <c r="I138" s="22">
        <f>IF(COUNTIF(nonprod_types, $D138)&gt;0,0, (($F138-$E138)-$G138)*24)</f>
        <v>0</v>
      </c>
      <c r="J138" s="24">
        <f t="shared" si="9"/>
        <v>0</v>
      </c>
    </row>
    <row r="139" spans="1:10" x14ac:dyDescent="0.25">
      <c r="A139" s="3">
        <v>41776</v>
      </c>
      <c r="B139" s="12" t="str">
        <f t="shared" si="7"/>
        <v>Fri</v>
      </c>
      <c r="C139" s="7">
        <f t="shared" si="8"/>
        <v>20</v>
      </c>
      <c r="H139" s="22">
        <f>IF(AND(WEEKDAY($A139,2)&lt;=5,COUNTIF(timeaway_types, $A139)=0),7.8,0)</f>
        <v>7.8</v>
      </c>
      <c r="I139" s="22">
        <f>IF(COUNTIF(nonprod_types, $D139)&gt;0,0, (($F139-$E139)-$G139)*24)</f>
        <v>0</v>
      </c>
      <c r="J139" s="24">
        <f t="shared" si="9"/>
        <v>0</v>
      </c>
    </row>
    <row r="140" spans="1:10" x14ac:dyDescent="0.25">
      <c r="A140" s="3">
        <v>41777</v>
      </c>
      <c r="B140" s="12" t="str">
        <f t="shared" si="7"/>
        <v>Sat</v>
      </c>
      <c r="C140" s="7">
        <f t="shared" si="8"/>
        <v>20</v>
      </c>
      <c r="H140" s="22">
        <f>IF(AND(WEEKDAY($A140,2)&lt;=5,COUNTIF(timeaway_types, $A140)=0),7.8,0)</f>
        <v>0</v>
      </c>
      <c r="I140" s="22">
        <f>IF(COUNTIF(nonprod_types, $D140)&gt;0,0, (($F140-$E140)-$G140)*24)</f>
        <v>0</v>
      </c>
      <c r="J140" s="24">
        <f t="shared" si="9"/>
        <v>0</v>
      </c>
    </row>
    <row r="141" spans="1:10" x14ac:dyDescent="0.25">
      <c r="A141" s="3">
        <v>41778</v>
      </c>
      <c r="B141" s="12" t="str">
        <f t="shared" si="7"/>
        <v>Sun</v>
      </c>
      <c r="C141" s="7">
        <f t="shared" si="8"/>
        <v>20</v>
      </c>
      <c r="H141" s="22">
        <f>IF(AND(WEEKDAY($A141,2)&lt;=5,COUNTIF(timeaway_types, $A141)=0),7.8,0)</f>
        <v>0</v>
      </c>
      <c r="I141" s="22">
        <f>IF(COUNTIF(nonprod_types, $D141)&gt;0,0, (($F141-$E141)-$G141)*24)</f>
        <v>0</v>
      </c>
      <c r="J141" s="24">
        <f t="shared" si="9"/>
        <v>0</v>
      </c>
    </row>
    <row r="142" spans="1:10" x14ac:dyDescent="0.25">
      <c r="A142" s="3">
        <v>41779</v>
      </c>
      <c r="B142" s="12" t="str">
        <f t="shared" si="7"/>
        <v>Mon</v>
      </c>
      <c r="C142" s="7">
        <f t="shared" si="8"/>
        <v>21</v>
      </c>
      <c r="H142" s="22">
        <f>IF(AND(WEEKDAY($A142,2)&lt;=5,COUNTIF(timeaway_types, $A142)=0),7.8,0)</f>
        <v>7.8</v>
      </c>
      <c r="I142" s="22">
        <f>IF(COUNTIF(nonprod_types, $D142)&gt;0,0, (($F142-$E142)-$G142)*24)</f>
        <v>0</v>
      </c>
      <c r="J142" s="24">
        <f t="shared" si="9"/>
        <v>0</v>
      </c>
    </row>
    <row r="143" spans="1:10" x14ac:dyDescent="0.25">
      <c r="A143" s="3">
        <v>41780</v>
      </c>
      <c r="B143" s="12" t="str">
        <f t="shared" si="7"/>
        <v>Tue</v>
      </c>
      <c r="C143" s="7">
        <f t="shared" si="8"/>
        <v>21</v>
      </c>
      <c r="H143" s="22">
        <f>IF(AND(WEEKDAY($A143,2)&lt;=5,COUNTIF(timeaway_types, $A143)=0),7.8,0)</f>
        <v>7.8</v>
      </c>
      <c r="I143" s="22">
        <f>IF(COUNTIF(nonprod_types, $D143)&gt;0,0, (($F143-$E143)-$G143)*24)</f>
        <v>0</v>
      </c>
      <c r="J143" s="24">
        <f t="shared" si="9"/>
        <v>0</v>
      </c>
    </row>
    <row r="144" spans="1:10" x14ac:dyDescent="0.25">
      <c r="A144" s="3">
        <v>41781</v>
      </c>
      <c r="B144" s="12" t="str">
        <f t="shared" si="7"/>
        <v>Wed</v>
      </c>
      <c r="C144" s="7">
        <f t="shared" si="8"/>
        <v>21</v>
      </c>
      <c r="H144" s="22">
        <f>IF(AND(WEEKDAY($A144,2)&lt;=5,COUNTIF(timeaway_types, $A144)=0),7.8,0)</f>
        <v>7.8</v>
      </c>
      <c r="I144" s="22">
        <f>IF(COUNTIF(nonprod_types, $D144)&gt;0,0, (($F144-$E144)-$G144)*24)</f>
        <v>0</v>
      </c>
      <c r="J144" s="24">
        <f t="shared" si="9"/>
        <v>0</v>
      </c>
    </row>
    <row r="145" spans="1:10" x14ac:dyDescent="0.25">
      <c r="A145" s="3">
        <v>41782</v>
      </c>
      <c r="B145" s="12" t="str">
        <f t="shared" si="7"/>
        <v>Thu</v>
      </c>
      <c r="C145" s="7">
        <f t="shared" si="8"/>
        <v>21</v>
      </c>
      <c r="H145" s="22">
        <f>IF(AND(WEEKDAY($A145,2)&lt;=5,COUNTIF(timeaway_types, $A145)=0),7.8,0)</f>
        <v>7.8</v>
      </c>
      <c r="I145" s="22">
        <f>IF(COUNTIF(nonprod_types, $D145)&gt;0,0, (($F145-$E145)-$G145)*24)</f>
        <v>0</v>
      </c>
      <c r="J145" s="24">
        <f t="shared" si="9"/>
        <v>0</v>
      </c>
    </row>
    <row r="146" spans="1:10" x14ac:dyDescent="0.25">
      <c r="A146" s="3">
        <v>41783</v>
      </c>
      <c r="B146" s="12" t="str">
        <f t="shared" si="7"/>
        <v>Fri</v>
      </c>
      <c r="C146" s="7">
        <f t="shared" si="8"/>
        <v>21</v>
      </c>
      <c r="H146" s="22">
        <f>IF(AND(WEEKDAY($A146,2)&lt;=5,COUNTIF(timeaway_types, $A146)=0),7.8,0)</f>
        <v>7.8</v>
      </c>
      <c r="I146" s="22">
        <f>IF(COUNTIF(nonprod_types, $D146)&gt;0,0, (($F146-$E146)-$G146)*24)</f>
        <v>0</v>
      </c>
      <c r="J146" s="24">
        <f t="shared" si="9"/>
        <v>0</v>
      </c>
    </row>
    <row r="147" spans="1:10" x14ac:dyDescent="0.25">
      <c r="A147" s="3">
        <v>41784</v>
      </c>
      <c r="B147" s="12" t="str">
        <f t="shared" si="7"/>
        <v>Sat</v>
      </c>
      <c r="C147" s="7">
        <f t="shared" si="8"/>
        <v>21</v>
      </c>
      <c r="H147" s="22">
        <f>IF(AND(WEEKDAY($A147,2)&lt;=5,COUNTIF(timeaway_types, $A147)=0),7.8,0)</f>
        <v>0</v>
      </c>
      <c r="I147" s="22">
        <f>IF(COUNTIF(nonprod_types, $D147)&gt;0,0, (($F147-$E147)-$G147)*24)</f>
        <v>0</v>
      </c>
      <c r="J147" s="24">
        <f t="shared" si="9"/>
        <v>0</v>
      </c>
    </row>
    <row r="148" spans="1:10" x14ac:dyDescent="0.25">
      <c r="A148" s="3">
        <v>41785</v>
      </c>
      <c r="B148" s="12" t="str">
        <f t="shared" si="7"/>
        <v>Sun</v>
      </c>
      <c r="C148" s="7">
        <f t="shared" si="8"/>
        <v>21</v>
      </c>
      <c r="H148" s="22">
        <f>IF(AND(WEEKDAY($A148,2)&lt;=5,COUNTIF(timeaway_types, $A148)=0),7.8,0)</f>
        <v>0</v>
      </c>
      <c r="I148" s="22">
        <f>IF(COUNTIF(nonprod_types, $D148)&gt;0,0, (($F148-$E148)-$G148)*24)</f>
        <v>0</v>
      </c>
      <c r="J148" s="24">
        <f t="shared" si="9"/>
        <v>0</v>
      </c>
    </row>
    <row r="149" spans="1:10" x14ac:dyDescent="0.25">
      <c r="A149" s="3">
        <v>41786</v>
      </c>
      <c r="B149" s="12" t="str">
        <f t="shared" si="7"/>
        <v>Mon</v>
      </c>
      <c r="C149" s="7">
        <f t="shared" si="8"/>
        <v>22</v>
      </c>
      <c r="H149" s="22">
        <f>IF(AND(WEEKDAY($A149,2)&lt;=5,COUNTIF(timeaway_types, $A149)=0),7.8,0)</f>
        <v>7.8</v>
      </c>
      <c r="I149" s="22">
        <f>IF(COUNTIF(nonprod_types, $D149)&gt;0,0, (($F149-$E149)-$G149)*24)</f>
        <v>0</v>
      </c>
      <c r="J149" s="24">
        <f t="shared" si="9"/>
        <v>0</v>
      </c>
    </row>
    <row r="150" spans="1:10" x14ac:dyDescent="0.25">
      <c r="A150" s="3">
        <v>41787</v>
      </c>
      <c r="B150" s="12" t="str">
        <f t="shared" si="7"/>
        <v>Tue</v>
      </c>
      <c r="C150" s="7">
        <f t="shared" si="8"/>
        <v>22</v>
      </c>
      <c r="H150" s="22">
        <f>IF(AND(WEEKDAY($A150,2)&lt;=5,COUNTIF(timeaway_types, $A150)=0),7.8,0)</f>
        <v>7.8</v>
      </c>
      <c r="I150" s="22">
        <f>IF(COUNTIF(nonprod_types, $D150)&gt;0,0, (($F150-$E150)-$G150)*24)</f>
        <v>0</v>
      </c>
      <c r="J150" s="24">
        <f t="shared" si="9"/>
        <v>0</v>
      </c>
    </row>
    <row r="151" spans="1:10" x14ac:dyDescent="0.25">
      <c r="A151" s="3">
        <v>41788</v>
      </c>
      <c r="B151" s="12" t="str">
        <f t="shared" si="7"/>
        <v>Wed</v>
      </c>
      <c r="C151" s="7">
        <f t="shared" si="8"/>
        <v>22</v>
      </c>
      <c r="H151" s="22">
        <f>IF(AND(WEEKDAY($A151,2)&lt;=5,COUNTIF(timeaway_types, $A151)=0),7.8,0)</f>
        <v>7.8</v>
      </c>
      <c r="I151" s="22">
        <f>IF(COUNTIF(nonprod_types, $D151)&gt;0,0, (($F151-$E151)-$G151)*24)</f>
        <v>0</v>
      </c>
      <c r="J151" s="24">
        <f t="shared" si="9"/>
        <v>0</v>
      </c>
    </row>
    <row r="152" spans="1:10" x14ac:dyDescent="0.25">
      <c r="A152" s="3">
        <v>41789</v>
      </c>
      <c r="B152" s="12" t="str">
        <f t="shared" si="7"/>
        <v>Thu</v>
      </c>
      <c r="C152" s="7">
        <f t="shared" si="8"/>
        <v>22</v>
      </c>
      <c r="H152" s="22">
        <f>IF(AND(WEEKDAY($A152,2)&lt;=5,COUNTIF(timeaway_types, $A152)=0),7.8,0)</f>
        <v>7.8</v>
      </c>
      <c r="I152" s="22">
        <f>IF(COUNTIF(nonprod_types, $D152)&gt;0,0, (($F152-$E152)-$G152)*24)</f>
        <v>0</v>
      </c>
      <c r="J152" s="24">
        <f t="shared" si="9"/>
        <v>0</v>
      </c>
    </row>
    <row r="153" spans="1:10" x14ac:dyDescent="0.25">
      <c r="A153" s="3">
        <v>41790</v>
      </c>
      <c r="B153" s="12" t="str">
        <f t="shared" si="7"/>
        <v>Fri</v>
      </c>
      <c r="C153" s="7">
        <f t="shared" si="8"/>
        <v>22</v>
      </c>
      <c r="H153" s="22">
        <f>IF(AND(WEEKDAY($A153,2)&lt;=5,COUNTIF(timeaway_types, $A153)=0),7.8,0)</f>
        <v>7.8</v>
      </c>
      <c r="I153" s="22">
        <f>IF(COUNTIF(nonprod_types, $D153)&gt;0,0, (($F153-$E153)-$G153)*24)</f>
        <v>0</v>
      </c>
      <c r="J153" s="24">
        <f t="shared" si="9"/>
        <v>0</v>
      </c>
    </row>
    <row r="154" spans="1:10" x14ac:dyDescent="0.25">
      <c r="A154" s="3">
        <v>41791</v>
      </c>
      <c r="B154" s="12" t="str">
        <f t="shared" si="7"/>
        <v>Sat</v>
      </c>
      <c r="C154" s="7">
        <f t="shared" si="8"/>
        <v>22</v>
      </c>
      <c r="H154" s="22">
        <f>IF(AND(WEEKDAY($A154,2)&lt;=5,COUNTIF(timeaway_types, $A154)=0),7.8,0)</f>
        <v>0</v>
      </c>
      <c r="I154" s="22">
        <f>IF(COUNTIF(nonprod_types, $D154)&gt;0,0, (($F154-$E154)-$G154)*24)</f>
        <v>0</v>
      </c>
      <c r="J154" s="24">
        <f t="shared" si="9"/>
        <v>0</v>
      </c>
    </row>
    <row r="155" spans="1:10" x14ac:dyDescent="0.25">
      <c r="A155" s="3">
        <v>41792</v>
      </c>
      <c r="B155" s="12" t="str">
        <f t="shared" si="7"/>
        <v>Sun</v>
      </c>
      <c r="C155" s="7">
        <f t="shared" si="8"/>
        <v>22</v>
      </c>
      <c r="H155" s="22">
        <f>IF(AND(WEEKDAY($A155,2)&lt;=5,COUNTIF(timeaway_types, $A155)=0),7.8,0)</f>
        <v>0</v>
      </c>
      <c r="I155" s="22">
        <f>IF(COUNTIF(nonprod_types, $D155)&gt;0,0, (($F155-$E155)-$G155)*24)</f>
        <v>0</v>
      </c>
      <c r="J155" s="24">
        <f t="shared" si="9"/>
        <v>0</v>
      </c>
    </row>
    <row r="156" spans="1:10" x14ac:dyDescent="0.25">
      <c r="A156" s="3">
        <v>41793</v>
      </c>
      <c r="B156" s="12" t="str">
        <f t="shared" si="7"/>
        <v>Mon</v>
      </c>
      <c r="C156" s="7">
        <f t="shared" si="8"/>
        <v>23</v>
      </c>
      <c r="H156" s="22">
        <f>IF(AND(WEEKDAY($A156,2)&lt;=5,COUNTIF(timeaway_types, $A156)=0),7.8,0)</f>
        <v>7.8</v>
      </c>
      <c r="I156" s="22">
        <f>IF(COUNTIF(nonprod_types, $D156)&gt;0,0, (($F156-$E156)-$G156)*24)</f>
        <v>0</v>
      </c>
      <c r="J156" s="24">
        <f t="shared" si="9"/>
        <v>0</v>
      </c>
    </row>
    <row r="157" spans="1:10" x14ac:dyDescent="0.25">
      <c r="A157" s="3">
        <v>41794</v>
      </c>
      <c r="B157" s="12" t="str">
        <f t="shared" si="7"/>
        <v>Tue</v>
      </c>
      <c r="C157" s="7">
        <f t="shared" si="8"/>
        <v>23</v>
      </c>
      <c r="H157" s="22">
        <f>IF(AND(WEEKDAY($A157,2)&lt;=5,COUNTIF(timeaway_types, $A157)=0),7.8,0)</f>
        <v>7.8</v>
      </c>
      <c r="I157" s="22">
        <f>IF(COUNTIF(nonprod_types, $D157)&gt;0,0, (($F157-$E157)-$G157)*24)</f>
        <v>0</v>
      </c>
      <c r="J157" s="24">
        <f t="shared" si="9"/>
        <v>0</v>
      </c>
    </row>
    <row r="158" spans="1:10" x14ac:dyDescent="0.25">
      <c r="A158" s="3">
        <v>41795</v>
      </c>
      <c r="B158" s="12" t="str">
        <f t="shared" si="7"/>
        <v>Wed</v>
      </c>
      <c r="C158" s="7">
        <f t="shared" si="8"/>
        <v>23</v>
      </c>
      <c r="H158" s="22">
        <f>IF(AND(WEEKDAY($A158,2)&lt;=5,COUNTIF(timeaway_types, $A158)=0),7.8,0)</f>
        <v>7.8</v>
      </c>
      <c r="I158" s="22">
        <f>IF(COUNTIF(nonprod_types, $D158)&gt;0,0, (($F158-$E158)-$G158)*24)</f>
        <v>0</v>
      </c>
      <c r="J158" s="24">
        <f t="shared" si="9"/>
        <v>0</v>
      </c>
    </row>
    <row r="159" spans="1:10" x14ac:dyDescent="0.25">
      <c r="A159" s="3">
        <v>41796</v>
      </c>
      <c r="B159" s="12" t="str">
        <f t="shared" si="7"/>
        <v>Thu</v>
      </c>
      <c r="C159" s="7">
        <f t="shared" si="8"/>
        <v>23</v>
      </c>
      <c r="H159" s="22">
        <f>IF(AND(WEEKDAY($A159,2)&lt;=5,COUNTIF(timeaway_types, $A159)=0),7.8,0)</f>
        <v>7.8</v>
      </c>
      <c r="I159" s="22">
        <f>IF(COUNTIF(nonprod_types, $D159)&gt;0,0, (($F159-$E159)-$G159)*24)</f>
        <v>0</v>
      </c>
      <c r="J159" s="24">
        <f t="shared" si="9"/>
        <v>0</v>
      </c>
    </row>
    <row r="160" spans="1:10" x14ac:dyDescent="0.25">
      <c r="A160" s="3">
        <v>41797</v>
      </c>
      <c r="B160" s="12" t="str">
        <f t="shared" si="7"/>
        <v>Fri</v>
      </c>
      <c r="C160" s="7">
        <f t="shared" si="8"/>
        <v>23</v>
      </c>
      <c r="H160" s="22">
        <f>IF(AND(WEEKDAY($A160,2)&lt;=5,COUNTIF(timeaway_types, $A160)=0),7.8,0)</f>
        <v>7.8</v>
      </c>
      <c r="I160" s="22">
        <f>IF(COUNTIF(nonprod_types, $D160)&gt;0,0, (($F160-$E160)-$G160)*24)</f>
        <v>0</v>
      </c>
      <c r="J160" s="24">
        <f t="shared" si="9"/>
        <v>0</v>
      </c>
    </row>
    <row r="161" spans="1:10" x14ac:dyDescent="0.25">
      <c r="A161" s="3">
        <v>41798</v>
      </c>
      <c r="B161" s="12" t="str">
        <f t="shared" si="7"/>
        <v>Sat</v>
      </c>
      <c r="C161" s="7">
        <f t="shared" si="8"/>
        <v>23</v>
      </c>
      <c r="H161" s="22">
        <f>IF(AND(WEEKDAY($A161,2)&lt;=5,COUNTIF(timeaway_types, $A161)=0),7.8,0)</f>
        <v>0</v>
      </c>
      <c r="I161" s="22">
        <f>IF(COUNTIF(nonprod_types, $D161)&gt;0,0, (($F161-$E161)-$G161)*24)</f>
        <v>0</v>
      </c>
      <c r="J161" s="24">
        <f t="shared" si="9"/>
        <v>0</v>
      </c>
    </row>
    <row r="162" spans="1:10" x14ac:dyDescent="0.25">
      <c r="A162" s="3">
        <v>41799</v>
      </c>
      <c r="B162" s="12" t="str">
        <f t="shared" si="7"/>
        <v>Sun</v>
      </c>
      <c r="C162" s="7">
        <f t="shared" si="8"/>
        <v>23</v>
      </c>
      <c r="H162" s="22">
        <f>IF(AND(WEEKDAY($A162,2)&lt;=5,COUNTIF(timeaway_types, $A162)=0),7.8,0)</f>
        <v>0</v>
      </c>
      <c r="I162" s="22">
        <f>IF(COUNTIF(nonprod_types, $D162)&gt;0,0, (($F162-$E162)-$G162)*24)</f>
        <v>0</v>
      </c>
      <c r="J162" s="24">
        <f t="shared" si="9"/>
        <v>0</v>
      </c>
    </row>
    <row r="163" spans="1:10" x14ac:dyDescent="0.25">
      <c r="A163" s="3">
        <v>41800</v>
      </c>
      <c r="B163" s="12" t="str">
        <f t="shared" si="7"/>
        <v>Mon</v>
      </c>
      <c r="C163" s="7">
        <f t="shared" si="8"/>
        <v>24</v>
      </c>
      <c r="H163" s="22">
        <f>IF(AND(WEEKDAY($A163,2)&lt;=5,COUNTIF(timeaway_types, $A163)=0),7.8,0)</f>
        <v>7.8</v>
      </c>
      <c r="I163" s="22">
        <f>IF(COUNTIF(nonprod_types, $D163)&gt;0,0, (($F163-$E163)-$G163)*24)</f>
        <v>0</v>
      </c>
      <c r="J163" s="24">
        <f t="shared" si="9"/>
        <v>0</v>
      </c>
    </row>
    <row r="164" spans="1:10" x14ac:dyDescent="0.25">
      <c r="A164" s="3">
        <v>41801</v>
      </c>
      <c r="B164" s="12" t="str">
        <f t="shared" si="7"/>
        <v>Tue</v>
      </c>
      <c r="C164" s="7">
        <f t="shared" si="8"/>
        <v>24</v>
      </c>
      <c r="H164" s="22">
        <f>IF(AND(WEEKDAY($A164,2)&lt;=5,COUNTIF(timeaway_types, $A164)=0),7.8,0)</f>
        <v>7.8</v>
      </c>
      <c r="I164" s="22">
        <f>IF(COUNTIF(nonprod_types, $D164)&gt;0,0, (($F164-$E164)-$G164)*24)</f>
        <v>0</v>
      </c>
      <c r="J164" s="24">
        <f t="shared" si="9"/>
        <v>0</v>
      </c>
    </row>
    <row r="165" spans="1:10" x14ac:dyDescent="0.25">
      <c r="A165" s="3">
        <v>41802</v>
      </c>
      <c r="B165" s="12" t="str">
        <f t="shared" si="7"/>
        <v>Wed</v>
      </c>
      <c r="C165" s="7">
        <f t="shared" si="8"/>
        <v>24</v>
      </c>
      <c r="H165" s="22">
        <f>IF(AND(WEEKDAY($A165,2)&lt;=5,COUNTIF(timeaway_types, $A165)=0),7.8,0)</f>
        <v>7.8</v>
      </c>
      <c r="I165" s="22">
        <f>IF(COUNTIF(nonprod_types, $D165)&gt;0,0, (($F165-$E165)-$G165)*24)</f>
        <v>0</v>
      </c>
      <c r="J165" s="24">
        <f t="shared" si="9"/>
        <v>0</v>
      </c>
    </row>
    <row r="166" spans="1:10" x14ac:dyDescent="0.25">
      <c r="A166" s="3">
        <v>41803</v>
      </c>
      <c r="B166" s="12" t="str">
        <f t="shared" si="7"/>
        <v>Thu</v>
      </c>
      <c r="C166" s="7">
        <f t="shared" si="8"/>
        <v>24</v>
      </c>
      <c r="H166" s="22">
        <f>IF(AND(WEEKDAY($A166,2)&lt;=5,COUNTIF(timeaway_types, $A166)=0),7.8,0)</f>
        <v>7.8</v>
      </c>
      <c r="I166" s="22">
        <f>IF(COUNTIF(nonprod_types, $D166)&gt;0,0, (($F166-$E166)-$G166)*24)</f>
        <v>0</v>
      </c>
      <c r="J166" s="24">
        <f t="shared" si="9"/>
        <v>0</v>
      </c>
    </row>
    <row r="167" spans="1:10" x14ac:dyDescent="0.25">
      <c r="A167" s="3">
        <v>41804</v>
      </c>
      <c r="B167" s="12" t="str">
        <f t="shared" si="7"/>
        <v>Fri</v>
      </c>
      <c r="C167" s="7">
        <f t="shared" si="8"/>
        <v>24</v>
      </c>
      <c r="H167" s="22">
        <f>IF(AND(WEEKDAY($A167,2)&lt;=5,COUNTIF(timeaway_types, $A167)=0),7.8,0)</f>
        <v>7.8</v>
      </c>
      <c r="I167" s="22">
        <f>IF(COUNTIF(nonprod_types, $D167)&gt;0,0, (($F167-$E167)-$G167)*24)</f>
        <v>0</v>
      </c>
      <c r="J167" s="24">
        <f t="shared" si="9"/>
        <v>0</v>
      </c>
    </row>
    <row r="168" spans="1:10" x14ac:dyDescent="0.25">
      <c r="A168" s="3">
        <v>41805</v>
      </c>
      <c r="B168" s="12" t="str">
        <f t="shared" si="7"/>
        <v>Sat</v>
      </c>
      <c r="C168" s="7">
        <f t="shared" si="8"/>
        <v>24</v>
      </c>
      <c r="H168" s="22">
        <f>IF(AND(WEEKDAY($A168,2)&lt;=5,COUNTIF(timeaway_types, $A168)=0),7.8,0)</f>
        <v>0</v>
      </c>
      <c r="I168" s="22">
        <f>IF(COUNTIF(nonprod_types, $D168)&gt;0,0, (($F168-$E168)-$G168)*24)</f>
        <v>0</v>
      </c>
      <c r="J168" s="24">
        <f t="shared" si="9"/>
        <v>0</v>
      </c>
    </row>
    <row r="169" spans="1:10" x14ac:dyDescent="0.25">
      <c r="A169" s="3">
        <v>41806</v>
      </c>
      <c r="B169" s="12" t="str">
        <f t="shared" si="7"/>
        <v>Sun</v>
      </c>
      <c r="C169" s="7">
        <f t="shared" si="8"/>
        <v>24</v>
      </c>
      <c r="H169" s="22">
        <f>IF(AND(WEEKDAY($A169,2)&lt;=5,COUNTIF(timeaway_types, $A169)=0),7.8,0)</f>
        <v>0</v>
      </c>
      <c r="I169" s="22">
        <f>IF(COUNTIF(nonprod_types, $D169)&gt;0,0, (($F169-$E169)-$G169)*24)</f>
        <v>0</v>
      </c>
      <c r="J169" s="24">
        <f t="shared" si="9"/>
        <v>0</v>
      </c>
    </row>
    <row r="170" spans="1:10" x14ac:dyDescent="0.25">
      <c r="A170" s="3">
        <v>41807</v>
      </c>
      <c r="B170" s="12" t="str">
        <f t="shared" si="7"/>
        <v>Mon</v>
      </c>
      <c r="C170" s="7">
        <f t="shared" si="8"/>
        <v>25</v>
      </c>
      <c r="H170" s="22">
        <f>IF(AND(WEEKDAY($A170,2)&lt;=5,COUNTIF(timeaway_types, $A170)=0),7.8,0)</f>
        <v>7.8</v>
      </c>
      <c r="I170" s="22">
        <f>IF(COUNTIF(nonprod_types, $D170)&gt;0,0, (($F170-$E170)-$G170)*24)</f>
        <v>0</v>
      </c>
      <c r="J170" s="24">
        <f t="shared" si="9"/>
        <v>0</v>
      </c>
    </row>
    <row r="171" spans="1:10" x14ac:dyDescent="0.25">
      <c r="A171" s="3">
        <v>41808</v>
      </c>
      <c r="B171" s="12" t="str">
        <f t="shared" si="7"/>
        <v>Tue</v>
      </c>
      <c r="C171" s="7">
        <f t="shared" si="8"/>
        <v>25</v>
      </c>
      <c r="H171" s="22">
        <f>IF(AND(WEEKDAY($A171,2)&lt;=5,COUNTIF(timeaway_types, $A171)=0),7.8,0)</f>
        <v>7.8</v>
      </c>
      <c r="I171" s="22">
        <f>IF(COUNTIF(nonprod_types, $D171)&gt;0,0, (($F171-$E171)-$G171)*24)</f>
        <v>0</v>
      </c>
      <c r="J171" s="24">
        <f t="shared" si="9"/>
        <v>0</v>
      </c>
    </row>
    <row r="172" spans="1:10" x14ac:dyDescent="0.25">
      <c r="A172" s="3">
        <v>41809</v>
      </c>
      <c r="B172" s="12" t="str">
        <f t="shared" si="7"/>
        <v>Wed</v>
      </c>
      <c r="C172" s="7">
        <f t="shared" si="8"/>
        <v>25</v>
      </c>
      <c r="H172" s="22">
        <f>IF(AND(WEEKDAY($A172,2)&lt;=5,COUNTIF(timeaway_types, $A172)=0),7.8,0)</f>
        <v>7.8</v>
      </c>
      <c r="I172" s="22">
        <f>IF(COUNTIF(nonprod_types, $D172)&gt;0,0, (($F172-$E172)-$G172)*24)</f>
        <v>0</v>
      </c>
      <c r="J172" s="24">
        <f t="shared" si="9"/>
        <v>0</v>
      </c>
    </row>
    <row r="173" spans="1:10" x14ac:dyDescent="0.25">
      <c r="A173" s="3">
        <v>41810</v>
      </c>
      <c r="B173" s="12" t="str">
        <f t="shared" si="7"/>
        <v>Thu</v>
      </c>
      <c r="C173" s="7">
        <f t="shared" si="8"/>
        <v>25</v>
      </c>
      <c r="H173" s="22">
        <f>IF(AND(WEEKDAY($A173,2)&lt;=5,COUNTIF(timeaway_types, $A173)=0),7.8,0)</f>
        <v>7.8</v>
      </c>
      <c r="I173" s="22">
        <f>IF(COUNTIF(nonprod_types, $D173)&gt;0,0, (($F173-$E173)-$G173)*24)</f>
        <v>0</v>
      </c>
      <c r="J173" s="24">
        <f t="shared" si="9"/>
        <v>0</v>
      </c>
    </row>
    <row r="174" spans="1:10" x14ac:dyDescent="0.25">
      <c r="A174" s="3">
        <v>41811</v>
      </c>
      <c r="B174" s="12" t="str">
        <f t="shared" si="7"/>
        <v>Fri</v>
      </c>
      <c r="C174" s="7">
        <f t="shared" si="8"/>
        <v>25</v>
      </c>
      <c r="H174" s="22">
        <f>IF(AND(WEEKDAY($A174,2)&lt;=5,COUNTIF(timeaway_types, $A174)=0),7.8,0)</f>
        <v>7.8</v>
      </c>
      <c r="I174" s="22">
        <f>IF(COUNTIF(nonprod_types, $D174)&gt;0,0, (($F174-$E174)-$G174)*24)</f>
        <v>0</v>
      </c>
      <c r="J174" s="24">
        <f t="shared" si="9"/>
        <v>0</v>
      </c>
    </row>
    <row r="175" spans="1:10" x14ac:dyDescent="0.25">
      <c r="A175" s="3">
        <v>41812</v>
      </c>
      <c r="B175" s="12" t="str">
        <f t="shared" si="7"/>
        <v>Sat</v>
      </c>
      <c r="C175" s="7">
        <f t="shared" si="8"/>
        <v>25</v>
      </c>
      <c r="H175" s="22">
        <f>IF(AND(WEEKDAY($A175,2)&lt;=5,COUNTIF(timeaway_types, $A175)=0),7.8,0)</f>
        <v>0</v>
      </c>
      <c r="I175" s="22">
        <f>IF(COUNTIF(nonprod_types, $D175)&gt;0,0, (($F175-$E175)-$G175)*24)</f>
        <v>0</v>
      </c>
      <c r="J175" s="24">
        <f t="shared" si="9"/>
        <v>0</v>
      </c>
    </row>
    <row r="176" spans="1:10" x14ac:dyDescent="0.25">
      <c r="A176" s="3">
        <v>41813</v>
      </c>
      <c r="B176" s="12" t="str">
        <f t="shared" si="7"/>
        <v>Sun</v>
      </c>
      <c r="C176" s="7">
        <f t="shared" si="8"/>
        <v>25</v>
      </c>
      <c r="H176" s="22">
        <f>IF(AND(WEEKDAY($A176,2)&lt;=5,COUNTIF(timeaway_types, $A176)=0),7.8,0)</f>
        <v>0</v>
      </c>
      <c r="I176" s="22">
        <f>IF(COUNTIF(nonprod_types, $D176)&gt;0,0, (($F176-$E176)-$G176)*24)</f>
        <v>0</v>
      </c>
      <c r="J176" s="24">
        <f t="shared" si="9"/>
        <v>0</v>
      </c>
    </row>
    <row r="177" spans="1:10" x14ac:dyDescent="0.25">
      <c r="A177" s="3">
        <v>41814</v>
      </c>
      <c r="B177" s="12" t="str">
        <f t="shared" si="7"/>
        <v>Mon</v>
      </c>
      <c r="C177" s="7">
        <f t="shared" si="8"/>
        <v>26</v>
      </c>
      <c r="H177" s="22">
        <f>IF(AND(WEEKDAY($A177,2)&lt;=5,COUNTIF(timeaway_types, $A177)=0),7.8,0)</f>
        <v>7.8</v>
      </c>
      <c r="I177" s="22">
        <f>IF(COUNTIF(nonprod_types, $D177)&gt;0,0, (($F177-$E177)-$G177)*24)</f>
        <v>0</v>
      </c>
      <c r="J177" s="24">
        <f t="shared" si="9"/>
        <v>0</v>
      </c>
    </row>
    <row r="178" spans="1:10" x14ac:dyDescent="0.25">
      <c r="A178" s="3">
        <v>41815</v>
      </c>
      <c r="B178" s="12" t="str">
        <f t="shared" si="7"/>
        <v>Tue</v>
      </c>
      <c r="C178" s="7">
        <f t="shared" si="8"/>
        <v>26</v>
      </c>
      <c r="H178" s="22">
        <f>IF(AND(WEEKDAY($A178,2)&lt;=5,COUNTIF(timeaway_types, $A178)=0),7.8,0)</f>
        <v>7.8</v>
      </c>
      <c r="I178" s="22">
        <f>IF(COUNTIF(nonprod_types, $D178)&gt;0,0, (($F178-$E178)-$G178)*24)</f>
        <v>0</v>
      </c>
      <c r="J178" s="24">
        <f t="shared" si="9"/>
        <v>0</v>
      </c>
    </row>
    <row r="179" spans="1:10" x14ac:dyDescent="0.25">
      <c r="A179" s="3">
        <v>41816</v>
      </c>
      <c r="B179" s="12" t="str">
        <f t="shared" si="7"/>
        <v>Wed</v>
      </c>
      <c r="C179" s="7">
        <f t="shared" si="8"/>
        <v>26</v>
      </c>
      <c r="H179" s="22">
        <f>IF(AND(WEEKDAY($A179,2)&lt;=5,COUNTIF(timeaway_types, $A179)=0),7.8,0)</f>
        <v>7.8</v>
      </c>
      <c r="I179" s="22">
        <f>IF(COUNTIF(nonprod_types, $D179)&gt;0,0, (($F179-$E179)-$G179)*24)</f>
        <v>0</v>
      </c>
      <c r="J179" s="24">
        <f t="shared" si="9"/>
        <v>0</v>
      </c>
    </row>
    <row r="180" spans="1:10" x14ac:dyDescent="0.25">
      <c r="A180" s="3">
        <v>41817</v>
      </c>
      <c r="B180" s="12" t="str">
        <f t="shared" si="7"/>
        <v>Thu</v>
      </c>
      <c r="C180" s="7">
        <f t="shared" si="8"/>
        <v>26</v>
      </c>
      <c r="H180" s="22">
        <f>IF(AND(WEEKDAY($A180,2)&lt;=5,COUNTIF(timeaway_types, $A180)=0),7.8,0)</f>
        <v>7.8</v>
      </c>
      <c r="I180" s="22">
        <f>IF(COUNTIF(nonprod_types, $D180)&gt;0,0, (($F180-$E180)-$G180)*24)</f>
        <v>0</v>
      </c>
      <c r="J180" s="24">
        <f t="shared" si="9"/>
        <v>0</v>
      </c>
    </row>
    <row r="181" spans="1:10" x14ac:dyDescent="0.25">
      <c r="A181" s="3">
        <v>41818</v>
      </c>
      <c r="B181" s="12" t="str">
        <f t="shared" si="7"/>
        <v>Fri</v>
      </c>
      <c r="C181" s="7">
        <f t="shared" si="8"/>
        <v>26</v>
      </c>
      <c r="H181" s="22">
        <f>IF(AND(WEEKDAY($A181,2)&lt;=5,COUNTIF(timeaway_types, $A181)=0),7.8,0)</f>
        <v>7.8</v>
      </c>
      <c r="I181" s="22">
        <f>IF(COUNTIF(nonprod_types, $D181)&gt;0,0, (($F181-$E181)-$G181)*24)</f>
        <v>0</v>
      </c>
      <c r="J181" s="24">
        <f t="shared" si="9"/>
        <v>0</v>
      </c>
    </row>
    <row r="182" spans="1:10" x14ac:dyDescent="0.25">
      <c r="A182" s="3">
        <v>41819</v>
      </c>
      <c r="B182" s="12" t="str">
        <f t="shared" si="7"/>
        <v>Sat</v>
      </c>
      <c r="C182" s="7">
        <f t="shared" si="8"/>
        <v>26</v>
      </c>
      <c r="H182" s="22">
        <f>IF(AND(WEEKDAY($A182,2)&lt;=5,COUNTIF(timeaway_types, $A182)=0),7.8,0)</f>
        <v>0</v>
      </c>
      <c r="I182" s="22">
        <f>IF(COUNTIF(nonprod_types, $D182)&gt;0,0, (($F182-$E182)-$G182)*24)</f>
        <v>0</v>
      </c>
      <c r="J182" s="24">
        <f t="shared" si="9"/>
        <v>0</v>
      </c>
    </row>
    <row r="183" spans="1:10" x14ac:dyDescent="0.25">
      <c r="A183" s="3">
        <v>41820</v>
      </c>
      <c r="B183" s="12" t="str">
        <f t="shared" si="7"/>
        <v>Sun</v>
      </c>
      <c r="C183" s="7">
        <f t="shared" si="8"/>
        <v>26</v>
      </c>
      <c r="H183" s="22">
        <f>IF(AND(WEEKDAY($A183,2)&lt;=5,COUNTIF(timeaway_types, $A183)=0),7.8,0)</f>
        <v>0</v>
      </c>
      <c r="I183" s="22">
        <f>IF(COUNTIF(nonprod_types, $D183)&gt;0,0, (($F183-$E183)-$G183)*24)</f>
        <v>0</v>
      </c>
      <c r="J183" s="24">
        <f t="shared" si="9"/>
        <v>0</v>
      </c>
    </row>
    <row r="184" spans="1:10" x14ac:dyDescent="0.25">
      <c r="A184" s="3">
        <v>41821</v>
      </c>
      <c r="B184" s="12" t="str">
        <f t="shared" si="7"/>
        <v>Mon</v>
      </c>
      <c r="C184" s="7">
        <f t="shared" si="8"/>
        <v>27</v>
      </c>
      <c r="H184" s="22">
        <f>IF(AND(WEEKDAY($A184,2)&lt;=5,COUNTIF(timeaway_types, $A184)=0),7.8,0)</f>
        <v>7.8</v>
      </c>
      <c r="I184" s="22">
        <f>IF(COUNTIF(nonprod_types, $D184)&gt;0,0, (($F184-$E184)-$G184)*24)</f>
        <v>0</v>
      </c>
      <c r="J184" s="24">
        <f t="shared" si="9"/>
        <v>0</v>
      </c>
    </row>
    <row r="185" spans="1:10" x14ac:dyDescent="0.25">
      <c r="A185" s="3">
        <v>41822</v>
      </c>
      <c r="B185" s="12" t="str">
        <f t="shared" si="7"/>
        <v>Tue</v>
      </c>
      <c r="C185" s="7">
        <f t="shared" si="8"/>
        <v>27</v>
      </c>
      <c r="H185" s="22">
        <f>IF(AND(WEEKDAY($A185,2)&lt;=5,COUNTIF(timeaway_types, $A185)=0),7.8,0)</f>
        <v>7.8</v>
      </c>
      <c r="I185" s="22">
        <f>IF(COUNTIF(nonprod_types, $D185)&gt;0,0, (($F185-$E185)-$G185)*24)</f>
        <v>0</v>
      </c>
      <c r="J185" s="24">
        <f t="shared" si="9"/>
        <v>0</v>
      </c>
    </row>
    <row r="186" spans="1:10" x14ac:dyDescent="0.25">
      <c r="A186" s="3">
        <v>41823</v>
      </c>
      <c r="B186" s="12" t="str">
        <f t="shared" si="7"/>
        <v>Wed</v>
      </c>
      <c r="C186" s="7">
        <f t="shared" si="8"/>
        <v>27</v>
      </c>
      <c r="H186" s="22">
        <f>IF(AND(WEEKDAY($A186,2)&lt;=5,COUNTIF(timeaway_types, $A186)=0),7.8,0)</f>
        <v>7.8</v>
      </c>
      <c r="I186" s="22">
        <f>IF(COUNTIF(nonprod_types, $D186)&gt;0,0, (($F186-$E186)-$G186)*24)</f>
        <v>0</v>
      </c>
      <c r="J186" s="24">
        <f t="shared" si="9"/>
        <v>0</v>
      </c>
    </row>
    <row r="187" spans="1:10" x14ac:dyDescent="0.25">
      <c r="A187" s="3">
        <v>41824</v>
      </c>
      <c r="B187" s="12" t="str">
        <f t="shared" si="7"/>
        <v>Thu</v>
      </c>
      <c r="C187" s="7">
        <f t="shared" si="8"/>
        <v>27</v>
      </c>
      <c r="H187" s="22">
        <f>IF(AND(WEEKDAY($A187,2)&lt;=5,COUNTIF(timeaway_types, $A187)=0),7.8,0)</f>
        <v>7.8</v>
      </c>
      <c r="I187" s="22">
        <f>IF(COUNTIF(nonprod_types, $D187)&gt;0,0, (($F187-$E187)-$G187)*24)</f>
        <v>0</v>
      </c>
      <c r="J187" s="24">
        <f t="shared" si="9"/>
        <v>0</v>
      </c>
    </row>
    <row r="188" spans="1:10" x14ac:dyDescent="0.25">
      <c r="A188" s="3">
        <v>41825</v>
      </c>
      <c r="B188" s="12" t="str">
        <f t="shared" si="7"/>
        <v>Fri</v>
      </c>
      <c r="C188" s="7">
        <f t="shared" si="8"/>
        <v>27</v>
      </c>
      <c r="H188" s="22">
        <f>IF(AND(WEEKDAY($A188,2)&lt;=5,COUNTIF(timeaway_types, $A188)=0),7.8,0)</f>
        <v>7.8</v>
      </c>
      <c r="I188" s="22">
        <f>IF(COUNTIF(nonprod_types, $D188)&gt;0,0, (($F188-$E188)-$G188)*24)</f>
        <v>0</v>
      </c>
      <c r="J188" s="24">
        <f t="shared" si="9"/>
        <v>0</v>
      </c>
    </row>
    <row r="189" spans="1:10" x14ac:dyDescent="0.25">
      <c r="A189" s="3">
        <v>41826</v>
      </c>
      <c r="B189" s="12" t="str">
        <f t="shared" si="7"/>
        <v>Sat</v>
      </c>
      <c r="C189" s="7">
        <f t="shared" si="8"/>
        <v>27</v>
      </c>
      <c r="H189" s="22">
        <f>IF(AND(WEEKDAY($A189,2)&lt;=5,COUNTIF(timeaway_types, $A189)=0),7.8,0)</f>
        <v>0</v>
      </c>
      <c r="I189" s="22">
        <f>IF(COUNTIF(nonprod_types, $D189)&gt;0,0, (($F189-$E189)-$G189)*24)</f>
        <v>0</v>
      </c>
      <c r="J189" s="24">
        <f t="shared" si="9"/>
        <v>0</v>
      </c>
    </row>
    <row r="190" spans="1:10" x14ac:dyDescent="0.25">
      <c r="A190" s="3">
        <v>41827</v>
      </c>
      <c r="B190" s="12" t="str">
        <f t="shared" si="7"/>
        <v>Sun</v>
      </c>
      <c r="C190" s="7">
        <f t="shared" si="8"/>
        <v>27</v>
      </c>
      <c r="H190" s="22">
        <f>IF(AND(WEEKDAY($A190,2)&lt;=5,COUNTIF(timeaway_types, $A190)=0),7.8,0)</f>
        <v>0</v>
      </c>
      <c r="I190" s="22">
        <f>IF(COUNTIF(nonprod_types, $D190)&gt;0,0, (($F190-$E190)-$G190)*24)</f>
        <v>0</v>
      </c>
      <c r="J190" s="24">
        <f t="shared" si="9"/>
        <v>0</v>
      </c>
    </row>
    <row r="191" spans="1:10" x14ac:dyDescent="0.25">
      <c r="A191" s="3">
        <v>41828</v>
      </c>
      <c r="B191" s="12" t="str">
        <f t="shared" si="7"/>
        <v>Mon</v>
      </c>
      <c r="C191" s="7">
        <f t="shared" si="8"/>
        <v>28</v>
      </c>
      <c r="H191" s="22">
        <f>IF(AND(WEEKDAY($A191,2)&lt;=5,COUNTIF(timeaway_types, $A191)=0),7.8,0)</f>
        <v>7.8</v>
      </c>
      <c r="I191" s="22">
        <f>IF(COUNTIF(nonprod_types, $D191)&gt;0,0, (($F191-$E191)-$G191)*24)</f>
        <v>0</v>
      </c>
      <c r="J191" s="24">
        <f t="shared" si="9"/>
        <v>0</v>
      </c>
    </row>
    <row r="192" spans="1:10" x14ac:dyDescent="0.25">
      <c r="A192" s="3">
        <v>41829</v>
      </c>
      <c r="B192" s="12" t="str">
        <f t="shared" si="7"/>
        <v>Tue</v>
      </c>
      <c r="C192" s="7">
        <f t="shared" si="8"/>
        <v>28</v>
      </c>
      <c r="H192" s="22">
        <f>IF(AND(WEEKDAY($A192,2)&lt;=5,COUNTIF(timeaway_types, $A192)=0),7.8,0)</f>
        <v>7.8</v>
      </c>
      <c r="I192" s="22">
        <f>IF(COUNTIF(nonprod_types, $D192)&gt;0,0, (($F192-$E192)-$G192)*24)</f>
        <v>0</v>
      </c>
      <c r="J192" s="24">
        <f t="shared" si="9"/>
        <v>0</v>
      </c>
    </row>
    <row r="193" spans="1:10" x14ac:dyDescent="0.25">
      <c r="A193" s="3">
        <v>41830</v>
      </c>
      <c r="B193" s="12" t="str">
        <f t="shared" si="7"/>
        <v>Wed</v>
      </c>
      <c r="C193" s="7">
        <f t="shared" si="8"/>
        <v>28</v>
      </c>
      <c r="H193" s="22">
        <f>IF(AND(WEEKDAY($A193,2)&lt;=5,COUNTIF(timeaway_types, $A193)=0),7.8,0)</f>
        <v>7.8</v>
      </c>
      <c r="I193" s="22">
        <f>IF(COUNTIF(nonprod_types, $D193)&gt;0,0, (($F193-$E193)-$G193)*24)</f>
        <v>0</v>
      </c>
      <c r="J193" s="24">
        <f t="shared" si="9"/>
        <v>0</v>
      </c>
    </row>
    <row r="194" spans="1:10" x14ac:dyDescent="0.25">
      <c r="A194" s="3">
        <v>41831</v>
      </c>
      <c r="B194" s="12" t="str">
        <f t="shared" ref="B194:B257" si="10">CHOOSE(WEEKDAY($A194,2),"Mon","Tue","Wed","Thu","Fri","Sat","Sun")</f>
        <v>Thu</v>
      </c>
      <c r="C194" s="7">
        <f t="shared" ref="C194:C257" si="11">_xlfn.ISOWEEKNUM($A194)</f>
        <v>28</v>
      </c>
      <c r="H194" s="22">
        <f>IF(AND(WEEKDAY($A194,2)&lt;=5,COUNTIF(timeaway_types, $A194)=0),7.8,0)</f>
        <v>7.8</v>
      </c>
      <c r="I194" s="22">
        <f>IF(COUNTIF(nonprod_types, $D194)&gt;0,0, (($F194-$E194)-$G194)*24)</f>
        <v>0</v>
      </c>
      <c r="J194" s="24">
        <f t="shared" ref="J194:J257" si="12">IF(D194="",0,$I194-$H194)</f>
        <v>0</v>
      </c>
    </row>
    <row r="195" spans="1:10" x14ac:dyDescent="0.25">
      <c r="A195" s="3">
        <v>41832</v>
      </c>
      <c r="B195" s="12" t="str">
        <f t="shared" si="10"/>
        <v>Fri</v>
      </c>
      <c r="C195" s="7">
        <f t="shared" si="11"/>
        <v>28</v>
      </c>
      <c r="H195" s="22">
        <f>IF(AND(WEEKDAY($A195,2)&lt;=5,COUNTIF(timeaway_types, $A195)=0),7.8,0)</f>
        <v>7.8</v>
      </c>
      <c r="I195" s="22">
        <f>IF(COUNTIF(nonprod_types, $D195)&gt;0,0, (($F195-$E195)-$G195)*24)</f>
        <v>0</v>
      </c>
      <c r="J195" s="24">
        <f t="shared" si="12"/>
        <v>0</v>
      </c>
    </row>
    <row r="196" spans="1:10" x14ac:dyDescent="0.25">
      <c r="A196" s="3">
        <v>41833</v>
      </c>
      <c r="B196" s="12" t="str">
        <f t="shared" si="10"/>
        <v>Sat</v>
      </c>
      <c r="C196" s="7">
        <f t="shared" si="11"/>
        <v>28</v>
      </c>
      <c r="H196" s="22">
        <f>IF(AND(WEEKDAY($A196,2)&lt;=5,COUNTIF(timeaway_types, $A196)=0),7.8,0)</f>
        <v>0</v>
      </c>
      <c r="I196" s="22">
        <f>IF(COUNTIF(nonprod_types, $D196)&gt;0,0, (($F196-$E196)-$G196)*24)</f>
        <v>0</v>
      </c>
      <c r="J196" s="24">
        <f t="shared" si="12"/>
        <v>0</v>
      </c>
    </row>
    <row r="197" spans="1:10" x14ac:dyDescent="0.25">
      <c r="A197" s="3">
        <v>41834</v>
      </c>
      <c r="B197" s="12" t="str">
        <f t="shared" si="10"/>
        <v>Sun</v>
      </c>
      <c r="C197" s="7">
        <f t="shared" si="11"/>
        <v>28</v>
      </c>
      <c r="H197" s="22">
        <f>IF(AND(WEEKDAY($A197,2)&lt;=5,COUNTIF(timeaway_types, $A197)=0),7.8,0)</f>
        <v>0</v>
      </c>
      <c r="I197" s="22">
        <f>IF(COUNTIF(nonprod_types, $D197)&gt;0,0, (($F197-$E197)-$G197)*24)</f>
        <v>0</v>
      </c>
      <c r="J197" s="24">
        <f t="shared" si="12"/>
        <v>0</v>
      </c>
    </row>
    <row r="198" spans="1:10" x14ac:dyDescent="0.25">
      <c r="A198" s="3">
        <v>41835</v>
      </c>
      <c r="B198" s="12" t="str">
        <f t="shared" si="10"/>
        <v>Mon</v>
      </c>
      <c r="C198" s="7">
        <f t="shared" si="11"/>
        <v>29</v>
      </c>
      <c r="H198" s="22">
        <f>IF(AND(WEEKDAY($A198,2)&lt;=5,COUNTIF(timeaway_types, $A198)=0),7.8,0)</f>
        <v>7.8</v>
      </c>
      <c r="I198" s="22">
        <f>IF(COUNTIF(nonprod_types, $D198)&gt;0,0, (($F198-$E198)-$G198)*24)</f>
        <v>0</v>
      </c>
      <c r="J198" s="24">
        <f t="shared" si="12"/>
        <v>0</v>
      </c>
    </row>
    <row r="199" spans="1:10" x14ac:dyDescent="0.25">
      <c r="A199" s="3">
        <v>41836</v>
      </c>
      <c r="B199" s="12" t="str">
        <f t="shared" si="10"/>
        <v>Tue</v>
      </c>
      <c r="C199" s="7">
        <f t="shared" si="11"/>
        <v>29</v>
      </c>
      <c r="H199" s="22">
        <f>IF(AND(WEEKDAY($A199,2)&lt;=5,COUNTIF(timeaway_types, $A199)=0),7.8,0)</f>
        <v>7.8</v>
      </c>
      <c r="I199" s="22">
        <f>IF(COUNTIF(nonprod_types, $D199)&gt;0,0, (($F199-$E199)-$G199)*24)</f>
        <v>0</v>
      </c>
      <c r="J199" s="24">
        <f t="shared" si="12"/>
        <v>0</v>
      </c>
    </row>
    <row r="200" spans="1:10" x14ac:dyDescent="0.25">
      <c r="A200" s="3">
        <v>41837</v>
      </c>
      <c r="B200" s="12" t="str">
        <f t="shared" si="10"/>
        <v>Wed</v>
      </c>
      <c r="C200" s="7">
        <f t="shared" si="11"/>
        <v>29</v>
      </c>
      <c r="H200" s="22">
        <f>IF(AND(WEEKDAY($A200,2)&lt;=5,COUNTIF(timeaway_types, $A200)=0),7.8,0)</f>
        <v>7.8</v>
      </c>
      <c r="I200" s="22">
        <f>IF(COUNTIF(nonprod_types, $D200)&gt;0,0, (($F200-$E200)-$G200)*24)</f>
        <v>0</v>
      </c>
      <c r="J200" s="24">
        <f t="shared" si="12"/>
        <v>0</v>
      </c>
    </row>
    <row r="201" spans="1:10" x14ac:dyDescent="0.25">
      <c r="A201" s="3">
        <v>41838</v>
      </c>
      <c r="B201" s="12" t="str">
        <f t="shared" si="10"/>
        <v>Thu</v>
      </c>
      <c r="C201" s="7">
        <f t="shared" si="11"/>
        <v>29</v>
      </c>
      <c r="H201" s="22">
        <f>IF(AND(WEEKDAY($A201,2)&lt;=5,COUNTIF(timeaway_types, $A201)=0),7.8,0)</f>
        <v>7.8</v>
      </c>
      <c r="I201" s="22">
        <f>IF(COUNTIF(nonprod_types, $D201)&gt;0,0, (($F201-$E201)-$G201)*24)</f>
        <v>0</v>
      </c>
      <c r="J201" s="24">
        <f t="shared" si="12"/>
        <v>0</v>
      </c>
    </row>
    <row r="202" spans="1:10" x14ac:dyDescent="0.25">
      <c r="A202" s="3">
        <v>41839</v>
      </c>
      <c r="B202" s="12" t="str">
        <f t="shared" si="10"/>
        <v>Fri</v>
      </c>
      <c r="C202" s="7">
        <f t="shared" si="11"/>
        <v>29</v>
      </c>
      <c r="H202" s="22">
        <f>IF(AND(WEEKDAY($A202,2)&lt;=5,COUNTIF(timeaway_types, $A202)=0),7.8,0)</f>
        <v>7.8</v>
      </c>
      <c r="I202" s="22">
        <f>IF(COUNTIF(nonprod_types, $D202)&gt;0,0, (($F202-$E202)-$G202)*24)</f>
        <v>0</v>
      </c>
      <c r="J202" s="24">
        <f t="shared" si="12"/>
        <v>0</v>
      </c>
    </row>
    <row r="203" spans="1:10" x14ac:dyDescent="0.25">
      <c r="A203" s="3">
        <v>41840</v>
      </c>
      <c r="B203" s="12" t="str">
        <f t="shared" si="10"/>
        <v>Sat</v>
      </c>
      <c r="C203" s="7">
        <f t="shared" si="11"/>
        <v>29</v>
      </c>
      <c r="H203" s="22">
        <f>IF(AND(WEEKDAY($A203,2)&lt;=5,COUNTIF(timeaway_types, $A203)=0),7.8,0)</f>
        <v>0</v>
      </c>
      <c r="I203" s="22">
        <f>IF(COUNTIF(nonprod_types, $D203)&gt;0,0, (($F203-$E203)-$G203)*24)</f>
        <v>0</v>
      </c>
      <c r="J203" s="24">
        <f t="shared" si="12"/>
        <v>0</v>
      </c>
    </row>
    <row r="204" spans="1:10" x14ac:dyDescent="0.25">
      <c r="A204" s="3">
        <v>41841</v>
      </c>
      <c r="B204" s="12" t="str">
        <f t="shared" si="10"/>
        <v>Sun</v>
      </c>
      <c r="C204" s="7">
        <f t="shared" si="11"/>
        <v>29</v>
      </c>
      <c r="H204" s="22">
        <f>IF(AND(WEEKDAY($A204,2)&lt;=5,COUNTIF(timeaway_types, $A204)=0),7.8,0)</f>
        <v>0</v>
      </c>
      <c r="I204" s="22">
        <f>IF(COUNTIF(nonprod_types, $D204)&gt;0,0, (($F204-$E204)-$G204)*24)</f>
        <v>0</v>
      </c>
      <c r="J204" s="24">
        <f t="shared" si="12"/>
        <v>0</v>
      </c>
    </row>
    <row r="205" spans="1:10" x14ac:dyDescent="0.25">
      <c r="A205" s="3">
        <v>41842</v>
      </c>
      <c r="B205" s="12" t="str">
        <f t="shared" si="10"/>
        <v>Mon</v>
      </c>
      <c r="C205" s="7">
        <f t="shared" si="11"/>
        <v>30</v>
      </c>
      <c r="H205" s="22">
        <f>IF(AND(WEEKDAY($A205,2)&lt;=5,COUNTIF(timeaway_types, $A205)=0),7.8,0)</f>
        <v>7.8</v>
      </c>
      <c r="I205" s="22">
        <f>IF(COUNTIF(nonprod_types, $D205)&gt;0,0, (($F205-$E205)-$G205)*24)</f>
        <v>0</v>
      </c>
      <c r="J205" s="24">
        <f t="shared" si="12"/>
        <v>0</v>
      </c>
    </row>
    <row r="206" spans="1:10" x14ac:dyDescent="0.25">
      <c r="A206" s="3">
        <v>41843</v>
      </c>
      <c r="B206" s="12" t="str">
        <f t="shared" si="10"/>
        <v>Tue</v>
      </c>
      <c r="C206" s="7">
        <f t="shared" si="11"/>
        <v>30</v>
      </c>
      <c r="H206" s="22">
        <f>IF(AND(WEEKDAY($A206,2)&lt;=5,COUNTIF(timeaway_types, $A206)=0),7.8,0)</f>
        <v>7.8</v>
      </c>
      <c r="I206" s="22">
        <f>IF(COUNTIF(nonprod_types, $D206)&gt;0,0, (($F206-$E206)-$G206)*24)</f>
        <v>0</v>
      </c>
      <c r="J206" s="24">
        <f t="shared" si="12"/>
        <v>0</v>
      </c>
    </row>
    <row r="207" spans="1:10" x14ac:dyDescent="0.25">
      <c r="A207" s="3">
        <v>41844</v>
      </c>
      <c r="B207" s="12" t="str">
        <f t="shared" si="10"/>
        <v>Wed</v>
      </c>
      <c r="C207" s="7">
        <f t="shared" si="11"/>
        <v>30</v>
      </c>
      <c r="H207" s="22">
        <f>IF(AND(WEEKDAY($A207,2)&lt;=5,COUNTIF(timeaway_types, $A207)=0),7.8,0)</f>
        <v>7.8</v>
      </c>
      <c r="I207" s="22">
        <f>IF(COUNTIF(nonprod_types, $D207)&gt;0,0, (($F207-$E207)-$G207)*24)</f>
        <v>0</v>
      </c>
      <c r="J207" s="24">
        <f t="shared" si="12"/>
        <v>0</v>
      </c>
    </row>
    <row r="208" spans="1:10" x14ac:dyDescent="0.25">
      <c r="A208" s="3">
        <v>41845</v>
      </c>
      <c r="B208" s="12" t="str">
        <f t="shared" si="10"/>
        <v>Thu</v>
      </c>
      <c r="C208" s="7">
        <f t="shared" si="11"/>
        <v>30</v>
      </c>
      <c r="H208" s="22">
        <f>IF(AND(WEEKDAY($A208,2)&lt;=5,COUNTIF(timeaway_types, $A208)=0),7.8,0)</f>
        <v>7.8</v>
      </c>
      <c r="I208" s="22">
        <f>IF(COUNTIF(nonprod_types, $D208)&gt;0,0, (($F208-$E208)-$G208)*24)</f>
        <v>0</v>
      </c>
      <c r="J208" s="24">
        <f t="shared" si="12"/>
        <v>0</v>
      </c>
    </row>
    <row r="209" spans="1:10" x14ac:dyDescent="0.25">
      <c r="A209" s="3">
        <v>41846</v>
      </c>
      <c r="B209" s="12" t="str">
        <f t="shared" si="10"/>
        <v>Fri</v>
      </c>
      <c r="C209" s="7">
        <f t="shared" si="11"/>
        <v>30</v>
      </c>
      <c r="H209" s="22">
        <f>IF(AND(WEEKDAY($A209,2)&lt;=5,COUNTIF(timeaway_types, $A209)=0),7.8,0)</f>
        <v>7.8</v>
      </c>
      <c r="I209" s="22">
        <f>IF(COUNTIF(nonprod_types, $D209)&gt;0,0, (($F209-$E209)-$G209)*24)</f>
        <v>0</v>
      </c>
      <c r="J209" s="24">
        <f t="shared" si="12"/>
        <v>0</v>
      </c>
    </row>
    <row r="210" spans="1:10" x14ac:dyDescent="0.25">
      <c r="A210" s="3">
        <v>41847</v>
      </c>
      <c r="B210" s="12" t="str">
        <f t="shared" si="10"/>
        <v>Sat</v>
      </c>
      <c r="C210" s="7">
        <f t="shared" si="11"/>
        <v>30</v>
      </c>
      <c r="H210" s="22">
        <f>IF(AND(WEEKDAY($A210,2)&lt;=5,COUNTIF(timeaway_types, $A210)=0),7.8,0)</f>
        <v>0</v>
      </c>
      <c r="I210" s="22">
        <f>IF(COUNTIF(nonprod_types, $D210)&gt;0,0, (($F210-$E210)-$G210)*24)</f>
        <v>0</v>
      </c>
      <c r="J210" s="24">
        <f t="shared" si="12"/>
        <v>0</v>
      </c>
    </row>
    <row r="211" spans="1:10" x14ac:dyDescent="0.25">
      <c r="A211" s="3">
        <v>41848</v>
      </c>
      <c r="B211" s="12" t="str">
        <f t="shared" si="10"/>
        <v>Sun</v>
      </c>
      <c r="C211" s="7">
        <f t="shared" si="11"/>
        <v>30</v>
      </c>
      <c r="H211" s="22">
        <f>IF(AND(WEEKDAY($A211,2)&lt;=5,COUNTIF(timeaway_types, $A211)=0),7.8,0)</f>
        <v>0</v>
      </c>
      <c r="I211" s="22">
        <f>IF(COUNTIF(nonprod_types, $D211)&gt;0,0, (($F211-$E211)-$G211)*24)</f>
        <v>0</v>
      </c>
      <c r="J211" s="24">
        <f t="shared" si="12"/>
        <v>0</v>
      </c>
    </row>
    <row r="212" spans="1:10" x14ac:dyDescent="0.25">
      <c r="A212" s="3">
        <v>41849</v>
      </c>
      <c r="B212" s="12" t="str">
        <f t="shared" si="10"/>
        <v>Mon</v>
      </c>
      <c r="C212" s="7">
        <f t="shared" si="11"/>
        <v>31</v>
      </c>
      <c r="H212" s="22">
        <f>IF(AND(WEEKDAY($A212,2)&lt;=5,COUNTIF(timeaway_types, $A212)=0),7.8,0)</f>
        <v>7.8</v>
      </c>
      <c r="I212" s="22">
        <f>IF(COUNTIF(nonprod_types, $D212)&gt;0,0, (($F212-$E212)-$G212)*24)</f>
        <v>0</v>
      </c>
      <c r="J212" s="24">
        <f t="shared" si="12"/>
        <v>0</v>
      </c>
    </row>
    <row r="213" spans="1:10" x14ac:dyDescent="0.25">
      <c r="A213" s="3">
        <v>41850</v>
      </c>
      <c r="B213" s="12" t="str">
        <f t="shared" si="10"/>
        <v>Tue</v>
      </c>
      <c r="C213" s="7">
        <f t="shared" si="11"/>
        <v>31</v>
      </c>
      <c r="H213" s="22">
        <f>IF(AND(WEEKDAY($A213,2)&lt;=5,COUNTIF(timeaway_types, $A213)=0),7.8,0)</f>
        <v>7.8</v>
      </c>
      <c r="I213" s="22">
        <f>IF(COUNTIF(nonprod_types, $D213)&gt;0,0, (($F213-$E213)-$G213)*24)</f>
        <v>0</v>
      </c>
      <c r="J213" s="24">
        <f t="shared" si="12"/>
        <v>0</v>
      </c>
    </row>
    <row r="214" spans="1:10" x14ac:dyDescent="0.25">
      <c r="A214" s="3">
        <v>41851</v>
      </c>
      <c r="B214" s="12" t="str">
        <f t="shared" si="10"/>
        <v>Wed</v>
      </c>
      <c r="C214" s="7">
        <f t="shared" si="11"/>
        <v>31</v>
      </c>
      <c r="H214" s="22">
        <f>IF(AND(WEEKDAY($A214,2)&lt;=5,COUNTIF(timeaway_types, $A214)=0),7.8,0)</f>
        <v>7.8</v>
      </c>
      <c r="I214" s="22">
        <f>IF(COUNTIF(nonprod_types, $D214)&gt;0,0, (($F214-$E214)-$G214)*24)</f>
        <v>0</v>
      </c>
      <c r="J214" s="24">
        <f t="shared" si="12"/>
        <v>0</v>
      </c>
    </row>
    <row r="215" spans="1:10" x14ac:dyDescent="0.25">
      <c r="A215" s="3">
        <v>41852</v>
      </c>
      <c r="B215" s="12" t="str">
        <f t="shared" si="10"/>
        <v>Thu</v>
      </c>
      <c r="C215" s="7">
        <f t="shared" si="11"/>
        <v>31</v>
      </c>
      <c r="H215" s="22">
        <f>IF(AND(WEEKDAY($A215,2)&lt;=5,COUNTIF(timeaway_types, $A215)=0),7.8,0)</f>
        <v>7.8</v>
      </c>
      <c r="I215" s="22">
        <f>IF(COUNTIF(nonprod_types, $D215)&gt;0,0, (($F215-$E215)-$G215)*24)</f>
        <v>0</v>
      </c>
      <c r="J215" s="24">
        <f t="shared" si="12"/>
        <v>0</v>
      </c>
    </row>
    <row r="216" spans="1:10" x14ac:dyDescent="0.25">
      <c r="A216" s="3">
        <v>41853</v>
      </c>
      <c r="B216" s="12" t="str">
        <f t="shared" si="10"/>
        <v>Fri</v>
      </c>
      <c r="C216" s="7">
        <f t="shared" si="11"/>
        <v>31</v>
      </c>
      <c r="H216" s="22">
        <f>IF(AND(WEEKDAY($A216,2)&lt;=5,COUNTIF(timeaway_types, $A216)=0),7.8,0)</f>
        <v>7.8</v>
      </c>
      <c r="I216" s="22">
        <f>IF(COUNTIF(nonprod_types, $D216)&gt;0,0, (($F216-$E216)-$G216)*24)</f>
        <v>0</v>
      </c>
      <c r="J216" s="24">
        <f t="shared" si="12"/>
        <v>0</v>
      </c>
    </row>
    <row r="217" spans="1:10" x14ac:dyDescent="0.25">
      <c r="A217" s="3">
        <v>41854</v>
      </c>
      <c r="B217" s="12" t="str">
        <f t="shared" si="10"/>
        <v>Sat</v>
      </c>
      <c r="C217" s="7">
        <f t="shared" si="11"/>
        <v>31</v>
      </c>
      <c r="H217" s="22">
        <f>IF(AND(WEEKDAY($A217,2)&lt;=5,COUNTIF(timeaway_types, $A217)=0),7.8,0)</f>
        <v>0</v>
      </c>
      <c r="I217" s="22">
        <f>IF(COUNTIF(nonprod_types, $D217)&gt;0,0, (($F217-$E217)-$G217)*24)</f>
        <v>0</v>
      </c>
      <c r="J217" s="24">
        <f t="shared" si="12"/>
        <v>0</v>
      </c>
    </row>
    <row r="218" spans="1:10" x14ac:dyDescent="0.25">
      <c r="A218" s="3">
        <v>41855</v>
      </c>
      <c r="B218" s="12" t="str">
        <f t="shared" si="10"/>
        <v>Sun</v>
      </c>
      <c r="C218" s="7">
        <f t="shared" si="11"/>
        <v>31</v>
      </c>
      <c r="H218" s="22">
        <f>IF(AND(WEEKDAY($A218,2)&lt;=5,COUNTIF(timeaway_types, $A218)=0),7.8,0)</f>
        <v>0</v>
      </c>
      <c r="I218" s="22">
        <f>IF(COUNTIF(nonprod_types, $D218)&gt;0,0, (($F218-$E218)-$G218)*24)</f>
        <v>0</v>
      </c>
      <c r="J218" s="24">
        <f t="shared" si="12"/>
        <v>0</v>
      </c>
    </row>
    <row r="219" spans="1:10" x14ac:dyDescent="0.25">
      <c r="A219" s="3">
        <v>41856</v>
      </c>
      <c r="B219" s="12" t="str">
        <f t="shared" si="10"/>
        <v>Mon</v>
      </c>
      <c r="C219" s="7">
        <f t="shared" si="11"/>
        <v>32</v>
      </c>
      <c r="H219" s="22">
        <f>IF(AND(WEEKDAY($A219,2)&lt;=5,COUNTIF(timeaway_types, $A219)=0),7.8,0)</f>
        <v>7.8</v>
      </c>
      <c r="I219" s="22">
        <f>IF(COUNTIF(nonprod_types, $D219)&gt;0,0, (($F219-$E219)-$G219)*24)</f>
        <v>0</v>
      </c>
      <c r="J219" s="24">
        <f t="shared" si="12"/>
        <v>0</v>
      </c>
    </row>
    <row r="220" spans="1:10" x14ac:dyDescent="0.25">
      <c r="A220" s="3">
        <v>41857</v>
      </c>
      <c r="B220" s="12" t="str">
        <f t="shared" si="10"/>
        <v>Tue</v>
      </c>
      <c r="C220" s="7">
        <f t="shared" si="11"/>
        <v>32</v>
      </c>
      <c r="H220" s="22">
        <f>IF(AND(WEEKDAY($A220,2)&lt;=5,COUNTIF(timeaway_types, $A220)=0),7.8,0)</f>
        <v>7.8</v>
      </c>
      <c r="I220" s="22">
        <f>IF(COUNTIF(nonprod_types, $D220)&gt;0,0, (($F220-$E220)-$G220)*24)</f>
        <v>0</v>
      </c>
      <c r="J220" s="24">
        <f t="shared" si="12"/>
        <v>0</v>
      </c>
    </row>
    <row r="221" spans="1:10" x14ac:dyDescent="0.25">
      <c r="A221" s="3">
        <v>41858</v>
      </c>
      <c r="B221" s="12" t="str">
        <f t="shared" si="10"/>
        <v>Wed</v>
      </c>
      <c r="C221" s="7">
        <f t="shared" si="11"/>
        <v>32</v>
      </c>
      <c r="H221" s="22">
        <f>IF(AND(WEEKDAY($A221,2)&lt;=5,COUNTIF(timeaway_types, $A221)=0),7.8,0)</f>
        <v>7.8</v>
      </c>
      <c r="I221" s="22">
        <f>IF(COUNTIF(nonprod_types, $D221)&gt;0,0, (($F221-$E221)-$G221)*24)</f>
        <v>0</v>
      </c>
      <c r="J221" s="24">
        <f t="shared" si="12"/>
        <v>0</v>
      </c>
    </row>
    <row r="222" spans="1:10" x14ac:dyDescent="0.25">
      <c r="A222" s="3">
        <v>41859</v>
      </c>
      <c r="B222" s="12" t="str">
        <f t="shared" si="10"/>
        <v>Thu</v>
      </c>
      <c r="C222" s="7">
        <f t="shared" si="11"/>
        <v>32</v>
      </c>
      <c r="H222" s="22">
        <f>IF(AND(WEEKDAY($A222,2)&lt;=5,COUNTIF(timeaway_types, $A222)=0),7.8,0)</f>
        <v>7.8</v>
      </c>
      <c r="I222" s="22">
        <f>IF(COUNTIF(nonprod_types, $D222)&gt;0,0, (($F222-$E222)-$G222)*24)</f>
        <v>0</v>
      </c>
      <c r="J222" s="24">
        <f t="shared" si="12"/>
        <v>0</v>
      </c>
    </row>
    <row r="223" spans="1:10" x14ac:dyDescent="0.25">
      <c r="A223" s="3">
        <v>41860</v>
      </c>
      <c r="B223" s="12" t="str">
        <f t="shared" si="10"/>
        <v>Fri</v>
      </c>
      <c r="C223" s="7">
        <f t="shared" si="11"/>
        <v>32</v>
      </c>
      <c r="H223" s="22">
        <f>IF(AND(WEEKDAY($A223,2)&lt;=5,COUNTIF(timeaway_types, $A223)=0),7.8,0)</f>
        <v>7.8</v>
      </c>
      <c r="I223" s="22">
        <f>IF(COUNTIF(nonprod_types, $D223)&gt;0,0, (($F223-$E223)-$G223)*24)</f>
        <v>0</v>
      </c>
      <c r="J223" s="24">
        <f t="shared" si="12"/>
        <v>0</v>
      </c>
    </row>
    <row r="224" spans="1:10" x14ac:dyDescent="0.25">
      <c r="A224" s="3">
        <v>41861</v>
      </c>
      <c r="B224" s="12" t="str">
        <f t="shared" si="10"/>
        <v>Sat</v>
      </c>
      <c r="C224" s="7">
        <f t="shared" si="11"/>
        <v>32</v>
      </c>
      <c r="H224" s="22">
        <f>IF(AND(WEEKDAY($A224,2)&lt;=5,COUNTIF(timeaway_types, $A224)=0),7.8,0)</f>
        <v>0</v>
      </c>
      <c r="I224" s="22">
        <f>IF(COUNTIF(nonprod_types, $D224)&gt;0,0, (($F224-$E224)-$G224)*24)</f>
        <v>0</v>
      </c>
      <c r="J224" s="24">
        <f t="shared" si="12"/>
        <v>0</v>
      </c>
    </row>
    <row r="225" spans="1:10" x14ac:dyDescent="0.25">
      <c r="A225" s="3">
        <v>41862</v>
      </c>
      <c r="B225" s="12" t="str">
        <f t="shared" si="10"/>
        <v>Sun</v>
      </c>
      <c r="C225" s="7">
        <f t="shared" si="11"/>
        <v>32</v>
      </c>
      <c r="H225" s="22">
        <f>IF(AND(WEEKDAY($A225,2)&lt;=5,COUNTIF(timeaway_types, $A225)=0),7.8,0)</f>
        <v>0</v>
      </c>
      <c r="I225" s="22">
        <f>IF(COUNTIF(nonprod_types, $D225)&gt;0,0, (($F225-$E225)-$G225)*24)</f>
        <v>0</v>
      </c>
      <c r="J225" s="24">
        <f t="shared" si="12"/>
        <v>0</v>
      </c>
    </row>
    <row r="226" spans="1:10" x14ac:dyDescent="0.25">
      <c r="A226" s="3">
        <v>41863</v>
      </c>
      <c r="B226" s="12" t="str">
        <f t="shared" si="10"/>
        <v>Mon</v>
      </c>
      <c r="C226" s="7">
        <f t="shared" si="11"/>
        <v>33</v>
      </c>
      <c r="H226" s="22">
        <f>IF(AND(WEEKDAY($A226,2)&lt;=5,COUNTIF(timeaway_types, $A226)=0),7.8,0)</f>
        <v>7.8</v>
      </c>
      <c r="I226" s="22">
        <f>IF(COUNTIF(nonprod_types, $D226)&gt;0,0, (($F226-$E226)-$G226)*24)</f>
        <v>0</v>
      </c>
      <c r="J226" s="24">
        <f t="shared" si="12"/>
        <v>0</v>
      </c>
    </row>
    <row r="227" spans="1:10" x14ac:dyDescent="0.25">
      <c r="A227" s="3">
        <v>41864</v>
      </c>
      <c r="B227" s="12" t="str">
        <f t="shared" si="10"/>
        <v>Tue</v>
      </c>
      <c r="C227" s="7">
        <f t="shared" si="11"/>
        <v>33</v>
      </c>
      <c r="H227" s="22">
        <f>IF(AND(WEEKDAY($A227,2)&lt;=5,COUNTIF(timeaway_types, $A227)=0),7.8,0)</f>
        <v>7.8</v>
      </c>
      <c r="I227" s="22">
        <f>IF(COUNTIF(nonprod_types, $D227)&gt;0,0, (($F227-$E227)-$G227)*24)</f>
        <v>0</v>
      </c>
      <c r="J227" s="24">
        <f t="shared" si="12"/>
        <v>0</v>
      </c>
    </row>
    <row r="228" spans="1:10" x14ac:dyDescent="0.25">
      <c r="A228" s="3">
        <v>41865</v>
      </c>
      <c r="B228" s="12" t="str">
        <f t="shared" si="10"/>
        <v>Wed</v>
      </c>
      <c r="C228" s="7">
        <f t="shared" si="11"/>
        <v>33</v>
      </c>
      <c r="H228" s="22">
        <f>IF(AND(WEEKDAY($A228,2)&lt;=5,COUNTIF(timeaway_types, $A228)=0),7.8,0)</f>
        <v>7.8</v>
      </c>
      <c r="I228" s="22">
        <f>IF(COUNTIF(nonprod_types, $D228)&gt;0,0, (($F228-$E228)-$G228)*24)</f>
        <v>0</v>
      </c>
      <c r="J228" s="24">
        <f t="shared" si="12"/>
        <v>0</v>
      </c>
    </row>
    <row r="229" spans="1:10" x14ac:dyDescent="0.25">
      <c r="A229" s="3">
        <v>41866</v>
      </c>
      <c r="B229" s="12" t="str">
        <f t="shared" si="10"/>
        <v>Thu</v>
      </c>
      <c r="C229" s="7">
        <f t="shared" si="11"/>
        <v>33</v>
      </c>
      <c r="H229" s="22">
        <f>IF(AND(WEEKDAY($A229,2)&lt;=5,COUNTIF(timeaway_types, $A229)=0),7.8,0)</f>
        <v>7.8</v>
      </c>
      <c r="I229" s="22">
        <f>IF(COUNTIF(nonprod_types, $D229)&gt;0,0, (($F229-$E229)-$G229)*24)</f>
        <v>0</v>
      </c>
      <c r="J229" s="24">
        <f t="shared" si="12"/>
        <v>0</v>
      </c>
    </row>
    <row r="230" spans="1:10" x14ac:dyDescent="0.25">
      <c r="A230" s="3">
        <v>41867</v>
      </c>
      <c r="B230" s="12" t="str">
        <f t="shared" si="10"/>
        <v>Fri</v>
      </c>
      <c r="C230" s="7">
        <f t="shared" si="11"/>
        <v>33</v>
      </c>
      <c r="H230" s="22">
        <f>IF(AND(WEEKDAY($A230,2)&lt;=5,COUNTIF(timeaway_types, $A230)=0),7.8,0)</f>
        <v>7.8</v>
      </c>
      <c r="I230" s="22">
        <f>IF(COUNTIF(nonprod_types, $D230)&gt;0,0, (($F230-$E230)-$G230)*24)</f>
        <v>0</v>
      </c>
      <c r="J230" s="24">
        <f t="shared" si="12"/>
        <v>0</v>
      </c>
    </row>
    <row r="231" spans="1:10" x14ac:dyDescent="0.25">
      <c r="A231" s="3">
        <v>41868</v>
      </c>
      <c r="B231" s="12" t="str">
        <f t="shared" si="10"/>
        <v>Sat</v>
      </c>
      <c r="C231" s="7">
        <f t="shared" si="11"/>
        <v>33</v>
      </c>
      <c r="H231" s="22">
        <f>IF(AND(WEEKDAY($A231,2)&lt;=5,COUNTIF(timeaway_types, $A231)=0),7.8,0)</f>
        <v>0</v>
      </c>
      <c r="I231" s="22">
        <f>IF(COUNTIF(nonprod_types, $D231)&gt;0,0, (($F231-$E231)-$G231)*24)</f>
        <v>0</v>
      </c>
      <c r="J231" s="24">
        <f t="shared" si="12"/>
        <v>0</v>
      </c>
    </row>
    <row r="232" spans="1:10" x14ac:dyDescent="0.25">
      <c r="A232" s="3">
        <v>41869</v>
      </c>
      <c r="B232" s="12" t="str">
        <f t="shared" si="10"/>
        <v>Sun</v>
      </c>
      <c r="C232" s="7">
        <f t="shared" si="11"/>
        <v>33</v>
      </c>
      <c r="H232" s="22">
        <f>IF(AND(WEEKDAY($A232,2)&lt;=5,COUNTIF(timeaway_types, $A232)=0),7.8,0)</f>
        <v>0</v>
      </c>
      <c r="I232" s="22">
        <f>IF(COUNTIF(nonprod_types, $D232)&gt;0,0, (($F232-$E232)-$G232)*24)</f>
        <v>0</v>
      </c>
      <c r="J232" s="24">
        <f t="shared" si="12"/>
        <v>0</v>
      </c>
    </row>
    <row r="233" spans="1:10" x14ac:dyDescent="0.25">
      <c r="A233" s="3">
        <v>41870</v>
      </c>
      <c r="B233" s="12" t="str">
        <f t="shared" si="10"/>
        <v>Mon</v>
      </c>
      <c r="C233" s="7">
        <f t="shared" si="11"/>
        <v>34</v>
      </c>
      <c r="H233" s="22">
        <f>IF(AND(WEEKDAY($A233,2)&lt;=5,COUNTIF(timeaway_types, $A233)=0),7.8,0)</f>
        <v>7.8</v>
      </c>
      <c r="I233" s="22">
        <f>IF(COUNTIF(nonprod_types, $D233)&gt;0,0, (($F233-$E233)-$G233)*24)</f>
        <v>0</v>
      </c>
      <c r="J233" s="24">
        <f t="shared" si="12"/>
        <v>0</v>
      </c>
    </row>
    <row r="234" spans="1:10" x14ac:dyDescent="0.25">
      <c r="A234" s="3">
        <v>41871</v>
      </c>
      <c r="B234" s="12" t="str">
        <f t="shared" si="10"/>
        <v>Tue</v>
      </c>
      <c r="C234" s="7">
        <f t="shared" si="11"/>
        <v>34</v>
      </c>
      <c r="H234" s="22">
        <f>IF(AND(WEEKDAY($A234,2)&lt;=5,COUNTIF(timeaway_types, $A234)=0),7.8,0)</f>
        <v>7.8</v>
      </c>
      <c r="I234" s="22">
        <f>IF(COUNTIF(nonprod_types, $D234)&gt;0,0, (($F234-$E234)-$G234)*24)</f>
        <v>0</v>
      </c>
      <c r="J234" s="24">
        <f t="shared" si="12"/>
        <v>0</v>
      </c>
    </row>
    <row r="235" spans="1:10" x14ac:dyDescent="0.25">
      <c r="A235" s="3">
        <v>41872</v>
      </c>
      <c r="B235" s="12" t="str">
        <f t="shared" si="10"/>
        <v>Wed</v>
      </c>
      <c r="C235" s="7">
        <f t="shared" si="11"/>
        <v>34</v>
      </c>
      <c r="H235" s="22">
        <f>IF(AND(WEEKDAY($A235,2)&lt;=5,COUNTIF(timeaway_types, $A235)=0),7.8,0)</f>
        <v>7.8</v>
      </c>
      <c r="I235" s="22">
        <f>IF(COUNTIF(nonprod_types, $D235)&gt;0,0, (($F235-$E235)-$G235)*24)</f>
        <v>0</v>
      </c>
      <c r="J235" s="24">
        <f t="shared" si="12"/>
        <v>0</v>
      </c>
    </row>
    <row r="236" spans="1:10" x14ac:dyDescent="0.25">
      <c r="A236" s="3">
        <v>41873</v>
      </c>
      <c r="B236" s="12" t="str">
        <f t="shared" si="10"/>
        <v>Thu</v>
      </c>
      <c r="C236" s="7">
        <f t="shared" si="11"/>
        <v>34</v>
      </c>
      <c r="H236" s="22">
        <f>IF(AND(WEEKDAY($A236,2)&lt;=5,COUNTIF(timeaway_types, $A236)=0),7.8,0)</f>
        <v>7.8</v>
      </c>
      <c r="I236" s="22">
        <f>IF(COUNTIF(nonprod_types, $D236)&gt;0,0, (($F236-$E236)-$G236)*24)</f>
        <v>0</v>
      </c>
      <c r="J236" s="24">
        <f t="shared" si="12"/>
        <v>0</v>
      </c>
    </row>
    <row r="237" spans="1:10" x14ac:dyDescent="0.25">
      <c r="A237" s="3">
        <v>41874</v>
      </c>
      <c r="B237" s="12" t="str">
        <f t="shared" si="10"/>
        <v>Fri</v>
      </c>
      <c r="C237" s="7">
        <f t="shared" si="11"/>
        <v>34</v>
      </c>
      <c r="H237" s="22">
        <f>IF(AND(WEEKDAY($A237,2)&lt;=5,COUNTIF(timeaway_types, $A237)=0),7.8,0)</f>
        <v>7.8</v>
      </c>
      <c r="I237" s="22">
        <f>IF(COUNTIF(nonprod_types, $D237)&gt;0,0, (($F237-$E237)-$G237)*24)</f>
        <v>0</v>
      </c>
      <c r="J237" s="24">
        <f t="shared" si="12"/>
        <v>0</v>
      </c>
    </row>
    <row r="238" spans="1:10" x14ac:dyDescent="0.25">
      <c r="A238" s="3">
        <v>41875</v>
      </c>
      <c r="B238" s="12" t="str">
        <f t="shared" si="10"/>
        <v>Sat</v>
      </c>
      <c r="C238" s="7">
        <f t="shared" si="11"/>
        <v>34</v>
      </c>
      <c r="H238" s="22">
        <f>IF(AND(WEEKDAY($A238,2)&lt;=5,COUNTIF(timeaway_types, $A238)=0),7.8,0)</f>
        <v>0</v>
      </c>
      <c r="I238" s="22">
        <f>IF(COUNTIF(nonprod_types, $D238)&gt;0,0, (($F238-$E238)-$G238)*24)</f>
        <v>0</v>
      </c>
      <c r="J238" s="24">
        <f t="shared" si="12"/>
        <v>0</v>
      </c>
    </row>
    <row r="239" spans="1:10" x14ac:dyDescent="0.25">
      <c r="A239" s="3">
        <v>41876</v>
      </c>
      <c r="B239" s="12" t="str">
        <f t="shared" si="10"/>
        <v>Sun</v>
      </c>
      <c r="C239" s="7">
        <f t="shared" si="11"/>
        <v>34</v>
      </c>
      <c r="H239" s="22">
        <f>IF(AND(WEEKDAY($A239,2)&lt;=5,COUNTIF(timeaway_types, $A239)=0),7.8,0)</f>
        <v>0</v>
      </c>
      <c r="I239" s="22">
        <f>IF(COUNTIF(nonprod_types, $D239)&gt;0,0, (($F239-$E239)-$G239)*24)</f>
        <v>0</v>
      </c>
      <c r="J239" s="24">
        <f t="shared" si="12"/>
        <v>0</v>
      </c>
    </row>
    <row r="240" spans="1:10" x14ac:dyDescent="0.25">
      <c r="A240" s="3">
        <v>41877</v>
      </c>
      <c r="B240" s="12" t="str">
        <f t="shared" si="10"/>
        <v>Mon</v>
      </c>
      <c r="C240" s="7">
        <f t="shared" si="11"/>
        <v>35</v>
      </c>
      <c r="H240" s="22">
        <f>IF(AND(WEEKDAY($A240,2)&lt;=5,COUNTIF(timeaway_types, $A240)=0),7.8,0)</f>
        <v>7.8</v>
      </c>
      <c r="I240" s="22">
        <f>IF(COUNTIF(nonprod_types, $D240)&gt;0,0, (($F240-$E240)-$G240)*24)</f>
        <v>0</v>
      </c>
      <c r="J240" s="24">
        <f t="shared" si="12"/>
        <v>0</v>
      </c>
    </row>
    <row r="241" spans="1:10" x14ac:dyDescent="0.25">
      <c r="A241" s="3">
        <v>41878</v>
      </c>
      <c r="B241" s="12" t="str">
        <f t="shared" si="10"/>
        <v>Tue</v>
      </c>
      <c r="C241" s="7">
        <f t="shared" si="11"/>
        <v>35</v>
      </c>
      <c r="H241" s="22">
        <f>IF(AND(WEEKDAY($A241,2)&lt;=5,COUNTIF(timeaway_types, $A241)=0),7.8,0)</f>
        <v>7.8</v>
      </c>
      <c r="I241" s="22">
        <f>IF(COUNTIF(nonprod_types, $D241)&gt;0,0, (($F241-$E241)-$G241)*24)</f>
        <v>0</v>
      </c>
      <c r="J241" s="24">
        <f t="shared" si="12"/>
        <v>0</v>
      </c>
    </row>
    <row r="242" spans="1:10" x14ac:dyDescent="0.25">
      <c r="A242" s="3">
        <v>41879</v>
      </c>
      <c r="B242" s="12" t="str">
        <f t="shared" si="10"/>
        <v>Wed</v>
      </c>
      <c r="C242" s="7">
        <f t="shared" si="11"/>
        <v>35</v>
      </c>
      <c r="H242" s="22">
        <f>IF(AND(WEEKDAY($A242,2)&lt;=5,COUNTIF(timeaway_types, $A242)=0),7.8,0)</f>
        <v>7.8</v>
      </c>
      <c r="I242" s="22">
        <f>IF(COUNTIF(nonprod_types, $D242)&gt;0,0, (($F242-$E242)-$G242)*24)</f>
        <v>0</v>
      </c>
      <c r="J242" s="24">
        <f t="shared" si="12"/>
        <v>0</v>
      </c>
    </row>
    <row r="243" spans="1:10" x14ac:dyDescent="0.25">
      <c r="A243" s="3">
        <v>41880</v>
      </c>
      <c r="B243" s="12" t="str">
        <f t="shared" si="10"/>
        <v>Thu</v>
      </c>
      <c r="C243" s="7">
        <f t="shared" si="11"/>
        <v>35</v>
      </c>
      <c r="H243" s="22">
        <f>IF(AND(WEEKDAY($A243,2)&lt;=5,COUNTIF(timeaway_types, $A243)=0),7.8,0)</f>
        <v>7.8</v>
      </c>
      <c r="I243" s="22">
        <f>IF(COUNTIF(nonprod_types, $D243)&gt;0,0, (($F243-$E243)-$G243)*24)</f>
        <v>0</v>
      </c>
      <c r="J243" s="24">
        <f t="shared" si="12"/>
        <v>0</v>
      </c>
    </row>
    <row r="244" spans="1:10" x14ac:dyDescent="0.25">
      <c r="A244" s="3">
        <v>41881</v>
      </c>
      <c r="B244" s="12" t="str">
        <f t="shared" si="10"/>
        <v>Fri</v>
      </c>
      <c r="C244" s="7">
        <f t="shared" si="11"/>
        <v>35</v>
      </c>
      <c r="H244" s="22">
        <f>IF(AND(WEEKDAY($A244,2)&lt;=5,COUNTIF(timeaway_types, $A244)=0),7.8,0)</f>
        <v>7.8</v>
      </c>
      <c r="I244" s="22">
        <f>IF(COUNTIF(nonprod_types, $D244)&gt;0,0, (($F244-$E244)-$G244)*24)</f>
        <v>0</v>
      </c>
      <c r="J244" s="24">
        <f t="shared" si="12"/>
        <v>0</v>
      </c>
    </row>
    <row r="245" spans="1:10" x14ac:dyDescent="0.25">
      <c r="A245" s="3">
        <v>41882</v>
      </c>
      <c r="B245" s="12" t="str">
        <f t="shared" si="10"/>
        <v>Sat</v>
      </c>
      <c r="C245" s="7">
        <f t="shared" si="11"/>
        <v>35</v>
      </c>
      <c r="H245" s="22">
        <f>IF(AND(WEEKDAY($A245,2)&lt;=5,COUNTIF(timeaway_types, $A245)=0),7.8,0)</f>
        <v>0</v>
      </c>
      <c r="I245" s="22">
        <f>IF(COUNTIF(nonprod_types, $D245)&gt;0,0, (($F245-$E245)-$G245)*24)</f>
        <v>0</v>
      </c>
      <c r="J245" s="24">
        <f t="shared" si="12"/>
        <v>0</v>
      </c>
    </row>
    <row r="246" spans="1:10" x14ac:dyDescent="0.25">
      <c r="A246" s="3">
        <v>41883</v>
      </c>
      <c r="B246" s="12" t="str">
        <f t="shared" si="10"/>
        <v>Sun</v>
      </c>
      <c r="C246" s="7">
        <f t="shared" si="11"/>
        <v>35</v>
      </c>
      <c r="H246" s="22">
        <f>IF(AND(WEEKDAY($A246,2)&lt;=5,COUNTIF(timeaway_types, $A246)=0),7.8,0)</f>
        <v>0</v>
      </c>
      <c r="I246" s="22">
        <f>IF(COUNTIF(nonprod_types, $D246)&gt;0,0, (($F246-$E246)-$G246)*24)</f>
        <v>0</v>
      </c>
      <c r="J246" s="24">
        <f t="shared" si="12"/>
        <v>0</v>
      </c>
    </row>
    <row r="247" spans="1:10" x14ac:dyDescent="0.25">
      <c r="A247" s="3">
        <v>41884</v>
      </c>
      <c r="B247" s="12" t="str">
        <f t="shared" si="10"/>
        <v>Mon</v>
      </c>
      <c r="C247" s="7">
        <f t="shared" si="11"/>
        <v>36</v>
      </c>
      <c r="H247" s="22">
        <f>IF(AND(WEEKDAY($A247,2)&lt;=5,COUNTIF(timeaway_types, $A247)=0),7.8,0)</f>
        <v>7.8</v>
      </c>
      <c r="I247" s="22">
        <f>IF(COUNTIF(nonprod_types, $D247)&gt;0,0, (($F247-$E247)-$G247)*24)</f>
        <v>0</v>
      </c>
      <c r="J247" s="24">
        <f t="shared" si="12"/>
        <v>0</v>
      </c>
    </row>
    <row r="248" spans="1:10" x14ac:dyDescent="0.25">
      <c r="A248" s="3">
        <v>41885</v>
      </c>
      <c r="B248" s="12" t="str">
        <f t="shared" si="10"/>
        <v>Tue</v>
      </c>
      <c r="C248" s="7">
        <f t="shared" si="11"/>
        <v>36</v>
      </c>
      <c r="H248" s="22">
        <f>IF(AND(WEEKDAY($A248,2)&lt;=5,COUNTIF(timeaway_types, $A248)=0),7.8,0)</f>
        <v>7.8</v>
      </c>
      <c r="I248" s="22">
        <f>IF(COUNTIF(nonprod_types, $D248)&gt;0,0, (($F248-$E248)-$G248)*24)</f>
        <v>0</v>
      </c>
      <c r="J248" s="24">
        <f t="shared" si="12"/>
        <v>0</v>
      </c>
    </row>
    <row r="249" spans="1:10" x14ac:dyDescent="0.25">
      <c r="A249" s="3">
        <v>41886</v>
      </c>
      <c r="B249" s="12" t="str">
        <f t="shared" si="10"/>
        <v>Wed</v>
      </c>
      <c r="C249" s="7">
        <f t="shared" si="11"/>
        <v>36</v>
      </c>
      <c r="H249" s="22">
        <f>IF(AND(WEEKDAY($A249,2)&lt;=5,COUNTIF(timeaway_types, $A249)=0),7.8,0)</f>
        <v>7.8</v>
      </c>
      <c r="I249" s="22">
        <f>IF(COUNTIF(nonprod_types, $D249)&gt;0,0, (($F249-$E249)-$G249)*24)</f>
        <v>0</v>
      </c>
      <c r="J249" s="24">
        <f t="shared" si="12"/>
        <v>0</v>
      </c>
    </row>
    <row r="250" spans="1:10" x14ac:dyDescent="0.25">
      <c r="A250" s="3">
        <v>41887</v>
      </c>
      <c r="B250" s="12" t="str">
        <f t="shared" si="10"/>
        <v>Thu</v>
      </c>
      <c r="C250" s="7">
        <f t="shared" si="11"/>
        <v>36</v>
      </c>
      <c r="H250" s="22">
        <f>IF(AND(WEEKDAY($A250,2)&lt;=5,COUNTIF(timeaway_types, $A250)=0),7.8,0)</f>
        <v>7.8</v>
      </c>
      <c r="I250" s="22">
        <f>IF(COUNTIF(nonprod_types, $D250)&gt;0,0, (($F250-$E250)-$G250)*24)</f>
        <v>0</v>
      </c>
      <c r="J250" s="24">
        <f t="shared" si="12"/>
        <v>0</v>
      </c>
    </row>
    <row r="251" spans="1:10" x14ac:dyDescent="0.25">
      <c r="A251" s="3">
        <v>41888</v>
      </c>
      <c r="B251" s="12" t="str">
        <f t="shared" si="10"/>
        <v>Fri</v>
      </c>
      <c r="C251" s="7">
        <f t="shared" si="11"/>
        <v>36</v>
      </c>
      <c r="H251" s="22">
        <f>IF(AND(WEEKDAY($A251,2)&lt;=5,COUNTIF(timeaway_types, $A251)=0),7.8,0)</f>
        <v>7.8</v>
      </c>
      <c r="I251" s="22">
        <f>IF(COUNTIF(nonprod_types, $D251)&gt;0,0, (($F251-$E251)-$G251)*24)</f>
        <v>0</v>
      </c>
      <c r="J251" s="24">
        <f t="shared" si="12"/>
        <v>0</v>
      </c>
    </row>
    <row r="252" spans="1:10" x14ac:dyDescent="0.25">
      <c r="A252" s="3">
        <v>41889</v>
      </c>
      <c r="B252" s="12" t="str">
        <f t="shared" si="10"/>
        <v>Sat</v>
      </c>
      <c r="C252" s="7">
        <f t="shared" si="11"/>
        <v>36</v>
      </c>
      <c r="H252" s="22">
        <f>IF(AND(WEEKDAY($A252,2)&lt;=5,COUNTIF(timeaway_types, $A252)=0),7.8,0)</f>
        <v>0</v>
      </c>
      <c r="I252" s="22">
        <f>IF(COUNTIF(nonprod_types, $D252)&gt;0,0, (($F252-$E252)-$G252)*24)</f>
        <v>0</v>
      </c>
      <c r="J252" s="24">
        <f t="shared" si="12"/>
        <v>0</v>
      </c>
    </row>
    <row r="253" spans="1:10" x14ac:dyDescent="0.25">
      <c r="A253" s="3">
        <v>41890</v>
      </c>
      <c r="B253" s="12" t="str">
        <f t="shared" si="10"/>
        <v>Sun</v>
      </c>
      <c r="C253" s="7">
        <f t="shared" si="11"/>
        <v>36</v>
      </c>
      <c r="H253" s="22">
        <f>IF(AND(WEEKDAY($A253,2)&lt;=5,COUNTIF(timeaway_types, $A253)=0),7.8,0)</f>
        <v>0</v>
      </c>
      <c r="I253" s="22">
        <f>IF(COUNTIF(nonprod_types, $D253)&gt;0,0, (($F253-$E253)-$G253)*24)</f>
        <v>0</v>
      </c>
      <c r="J253" s="24">
        <f t="shared" si="12"/>
        <v>0</v>
      </c>
    </row>
    <row r="254" spans="1:10" x14ac:dyDescent="0.25">
      <c r="A254" s="3">
        <v>41891</v>
      </c>
      <c r="B254" s="12" t="str">
        <f t="shared" si="10"/>
        <v>Mon</v>
      </c>
      <c r="C254" s="7">
        <f t="shared" si="11"/>
        <v>37</v>
      </c>
      <c r="D254" s="10"/>
      <c r="H254" s="22">
        <f>IF(AND(WEEKDAY($A254,2)&lt;=5,COUNTIF(timeaway_types, $A254)=0),7.8,0)</f>
        <v>7.8</v>
      </c>
      <c r="I254" s="22">
        <f>IF(COUNTIF(nonprod_types, $D254)&gt;0,0, (($F254-$E254)-$G254)*24)</f>
        <v>0</v>
      </c>
      <c r="J254" s="24">
        <f t="shared" si="12"/>
        <v>0</v>
      </c>
    </row>
    <row r="255" spans="1:10" x14ac:dyDescent="0.25">
      <c r="A255" s="3">
        <v>41892</v>
      </c>
      <c r="B255" s="12" t="str">
        <f t="shared" si="10"/>
        <v>Tue</v>
      </c>
      <c r="C255" s="7">
        <f t="shared" si="11"/>
        <v>37</v>
      </c>
      <c r="D255" s="10"/>
      <c r="H255" s="22">
        <f>IF(AND(WEEKDAY($A255,2)&lt;=5,COUNTIF(timeaway_types, $A255)=0),7.8,0)</f>
        <v>7.8</v>
      </c>
      <c r="I255" s="22">
        <f>IF(COUNTIF(nonprod_types, $D255)&gt;0,0, (($F255-$E255)-$G255)*24)</f>
        <v>0</v>
      </c>
      <c r="J255" s="24">
        <f t="shared" si="12"/>
        <v>0</v>
      </c>
    </row>
    <row r="256" spans="1:10" x14ac:dyDescent="0.25">
      <c r="A256" s="3">
        <v>41893</v>
      </c>
      <c r="B256" s="12" t="str">
        <f t="shared" si="10"/>
        <v>Wed</v>
      </c>
      <c r="C256" s="7">
        <f t="shared" si="11"/>
        <v>37</v>
      </c>
      <c r="D256" s="10"/>
      <c r="H256" s="22">
        <f>IF(AND(WEEKDAY($A256,2)&lt;=5,COUNTIF(timeaway_types, $A256)=0),7.8,0)</f>
        <v>7.8</v>
      </c>
      <c r="I256" s="22">
        <f>IF(COUNTIF(nonprod_types, $D256)&gt;0,0, (($F256-$E256)-$G256)*24)</f>
        <v>0</v>
      </c>
      <c r="J256" s="24">
        <f t="shared" si="12"/>
        <v>0</v>
      </c>
    </row>
    <row r="257" spans="1:13" x14ac:dyDescent="0.25">
      <c r="A257" s="3">
        <v>41894</v>
      </c>
      <c r="B257" s="12" t="str">
        <f t="shared" si="10"/>
        <v>Thu</v>
      </c>
      <c r="C257" s="7">
        <f t="shared" si="11"/>
        <v>37</v>
      </c>
      <c r="D257" s="10"/>
      <c r="H257" s="22">
        <f>IF(AND(WEEKDAY($A257,2)&lt;=5,COUNTIF(timeaway_types, $A257)=0),7.8,0)</f>
        <v>7.8</v>
      </c>
      <c r="I257" s="22">
        <f>IF(COUNTIF(nonprod_types, $D257)&gt;0,0, (($F257-$E257)-$G257)*24)</f>
        <v>0</v>
      </c>
      <c r="J257" s="24">
        <f t="shared" si="12"/>
        <v>0</v>
      </c>
    </row>
    <row r="258" spans="1:13" x14ac:dyDescent="0.25">
      <c r="A258" s="3">
        <v>41895</v>
      </c>
      <c r="B258" s="12" t="str">
        <f t="shared" ref="B258:B267" si="13">CHOOSE(WEEKDAY($A258,2),"Mon","Tue","Wed","Thu","Fri","Sat","Sun")</f>
        <v>Fri</v>
      </c>
      <c r="C258" s="7">
        <f t="shared" ref="C258:C267" si="14">_xlfn.ISOWEEKNUM($A258)</f>
        <v>37</v>
      </c>
      <c r="D258" s="10"/>
      <c r="H258" s="22">
        <f>IF(AND(WEEKDAY($A258,2)&lt;=5,COUNTIF(timeaway_types, $A258)=0),7.8,0)</f>
        <v>7.8</v>
      </c>
      <c r="I258" s="22">
        <f>IF(COUNTIF(nonprod_types, $D258)&gt;0,0, (($F258-$E258)-$G258)*24)</f>
        <v>0</v>
      </c>
      <c r="J258" s="24">
        <f t="shared" ref="J258" si="15">IF(D258="",0,$I258-$H258)</f>
        <v>0</v>
      </c>
      <c r="L258" s="6"/>
      <c r="M258" s="6"/>
    </row>
    <row r="259" spans="1:13" x14ac:dyDescent="0.25">
      <c r="A259" s="3">
        <v>41896</v>
      </c>
      <c r="B259" s="12" t="str">
        <f t="shared" si="13"/>
        <v>Sat</v>
      </c>
      <c r="C259" s="7">
        <f t="shared" si="14"/>
        <v>37</v>
      </c>
      <c r="H259" s="22">
        <f>IF(AND(WEEKDAY($A259,2)&lt;=5,COUNTIF(timeaway_types, $A259)=0),7.8,0)</f>
        <v>0</v>
      </c>
      <c r="I259" s="22">
        <f>IF(COUNTIF(nonprod_types, $D259)&gt;0,0, (($F259-$E259)-$G259)*24)</f>
        <v>0</v>
      </c>
      <c r="J259" s="24">
        <f>IF(D259="",0,$I259-$H259)</f>
        <v>0</v>
      </c>
    </row>
    <row r="260" spans="1:13" x14ac:dyDescent="0.25">
      <c r="A260" s="3">
        <v>41897</v>
      </c>
      <c r="B260" s="12" t="str">
        <f t="shared" si="13"/>
        <v>Sun</v>
      </c>
      <c r="C260" s="7">
        <f t="shared" si="14"/>
        <v>37</v>
      </c>
      <c r="H260" s="22">
        <f>IF(AND(WEEKDAY($A260,2)&lt;=5,COUNTIF(timeaway_types, $A260)=0),7.8,0)</f>
        <v>0</v>
      </c>
      <c r="I260" s="22">
        <f>IF(COUNTIF(nonprod_types, $D260)&gt;0,0, (($F260-$E260)-$G260)*24)</f>
        <v>0</v>
      </c>
      <c r="J260" s="24">
        <f t="shared" ref="J260:J323" si="16">IF(D260="",0,$I260-$H260)</f>
        <v>0</v>
      </c>
    </row>
    <row r="261" spans="1:13" x14ac:dyDescent="0.25">
      <c r="A261" s="3">
        <v>41898</v>
      </c>
      <c r="B261" s="12" t="str">
        <f t="shared" si="13"/>
        <v>Mon</v>
      </c>
      <c r="C261" s="7">
        <f t="shared" si="14"/>
        <v>38</v>
      </c>
      <c r="D261" s="10"/>
      <c r="H261" s="22">
        <f>IF(AND(WEEKDAY($A261,2)&lt;=5,COUNTIF(timeaway_types, $A261)=0),7.8,0)</f>
        <v>7.8</v>
      </c>
      <c r="I261" s="22">
        <f>IF(COUNTIF(nonprod_types, $D261)&gt;0,0, (($F261-$E261)-$G261)*24)</f>
        <v>0</v>
      </c>
      <c r="J261" s="24">
        <f t="shared" si="16"/>
        <v>0</v>
      </c>
    </row>
    <row r="262" spans="1:13" x14ac:dyDescent="0.25">
      <c r="A262" s="3">
        <v>41899</v>
      </c>
      <c r="B262" s="12" t="str">
        <f t="shared" si="13"/>
        <v>Tue</v>
      </c>
      <c r="C262" s="7">
        <f t="shared" si="14"/>
        <v>38</v>
      </c>
      <c r="D262" s="10"/>
      <c r="H262" s="22">
        <f>IF(AND(WEEKDAY($A262,2)&lt;=5,COUNTIF(timeaway_types, $A262)=0),7.8,0)</f>
        <v>7.8</v>
      </c>
      <c r="I262" s="22">
        <f>IF(COUNTIF(nonprod_types, $D262)&gt;0,0, (($F262-$E262)-$G262)*24)</f>
        <v>0</v>
      </c>
      <c r="J262" s="24">
        <f t="shared" si="16"/>
        <v>0</v>
      </c>
      <c r="K262" s="7"/>
    </row>
    <row r="263" spans="1:13" x14ac:dyDescent="0.25">
      <c r="A263" s="3">
        <v>41900</v>
      </c>
      <c r="B263" s="12" t="str">
        <f t="shared" si="13"/>
        <v>Wed</v>
      </c>
      <c r="C263" s="7">
        <f t="shared" si="14"/>
        <v>38</v>
      </c>
      <c r="D263" s="10"/>
      <c r="H263" s="22">
        <f>IF(AND(WEEKDAY($A263,2)&lt;=5,COUNTIF(timeaway_types, $A263)=0),7.8,0)</f>
        <v>7.8</v>
      </c>
      <c r="I263" s="22">
        <f>IF(COUNTIF(nonprod_types, $D263)&gt;0,0, (($F263-$E263)-$G263)*24)</f>
        <v>0</v>
      </c>
      <c r="J263" s="24">
        <f t="shared" si="16"/>
        <v>0</v>
      </c>
    </row>
    <row r="264" spans="1:13" x14ac:dyDescent="0.25">
      <c r="A264" s="3">
        <v>41901</v>
      </c>
      <c r="B264" s="12" t="str">
        <f t="shared" si="13"/>
        <v>Thu</v>
      </c>
      <c r="C264" s="7">
        <f t="shared" si="14"/>
        <v>38</v>
      </c>
      <c r="D264" s="10"/>
      <c r="H264" s="22">
        <f>IF(AND(WEEKDAY($A264,2)&lt;=5,COUNTIF(timeaway_types, $A264)=0),7.8,0)</f>
        <v>7.8</v>
      </c>
      <c r="I264" s="22">
        <f>IF(COUNTIF(nonprod_types, $D264)&gt;0,0, (($F264-$E264)-$G264)*24)</f>
        <v>0</v>
      </c>
      <c r="J264" s="24">
        <f t="shared" si="16"/>
        <v>0</v>
      </c>
    </row>
    <row r="265" spans="1:13" x14ac:dyDescent="0.25">
      <c r="A265" s="3">
        <v>41902</v>
      </c>
      <c r="B265" s="12" t="str">
        <f t="shared" si="13"/>
        <v>Fri</v>
      </c>
      <c r="C265" s="7">
        <f t="shared" si="14"/>
        <v>38</v>
      </c>
      <c r="H265" s="22">
        <f>IF(AND(WEEKDAY($A265,2)&lt;=5,COUNTIF(timeaway_types, $A265)=0),7.8,0)</f>
        <v>7.8</v>
      </c>
      <c r="I265" s="22">
        <f>IF(COUNTIF(nonprod_types, $D265)&gt;0,0, (($F265-$E265)-$G265)*24)</f>
        <v>0</v>
      </c>
      <c r="J265" s="24">
        <f t="shared" si="16"/>
        <v>0</v>
      </c>
    </row>
    <row r="266" spans="1:13" x14ac:dyDescent="0.25">
      <c r="A266" s="3">
        <v>41903</v>
      </c>
      <c r="B266" s="12" t="str">
        <f t="shared" si="13"/>
        <v>Sat</v>
      </c>
      <c r="C266" s="7">
        <f t="shared" si="14"/>
        <v>38</v>
      </c>
      <c r="H266" s="22">
        <f>IF(AND(WEEKDAY($A266,2)&lt;=5,COUNTIF(timeaway_types, $A266)=0),7.8,0)</f>
        <v>0</v>
      </c>
      <c r="I266" s="22">
        <f>IF(COUNTIF(nonprod_types, $D266)&gt;0,0, (($F266-$E266)-$G266)*24)</f>
        <v>0</v>
      </c>
      <c r="J266" s="24">
        <f t="shared" si="16"/>
        <v>0</v>
      </c>
    </row>
    <row r="267" spans="1:13" x14ac:dyDescent="0.25">
      <c r="A267" s="3">
        <v>41904</v>
      </c>
      <c r="B267" s="12" t="str">
        <f t="shared" si="13"/>
        <v>Sun</v>
      </c>
      <c r="C267" s="7">
        <f t="shared" si="14"/>
        <v>38</v>
      </c>
      <c r="H267" s="22">
        <f>IF(AND(WEEKDAY($A267,2)&lt;=5,COUNTIF(timeaway_types, $A267)=0),7.8,0)</f>
        <v>0</v>
      </c>
      <c r="I267" s="22">
        <f>IF(COUNTIF(nonprod_types, $D267)&gt;0,0, (($F267-$E267)-$G267)*24)</f>
        <v>0</v>
      </c>
      <c r="J267" s="24">
        <f t="shared" si="16"/>
        <v>0</v>
      </c>
    </row>
    <row r="268" spans="1:13" x14ac:dyDescent="0.25">
      <c r="A268" s="3">
        <v>41905</v>
      </c>
      <c r="B268" s="12" t="str">
        <f>CHOOSE(WEEKDAY($A268,2),"Mon","Tue","Wed","Thu","Fri","Sat","Sun")</f>
        <v>Mon</v>
      </c>
      <c r="C268" s="7">
        <f t="shared" ref="C268:C332" si="17">_xlfn.ISOWEEKNUM($A268)</f>
        <v>39</v>
      </c>
      <c r="H268" s="22">
        <f>IF(AND(WEEKDAY($A268,2)&lt;=5,COUNTIF(timeaway_types, $A268)=0),7.8,0)</f>
        <v>7.8</v>
      </c>
      <c r="I268" s="22">
        <f>IF(COUNTIF(nonprod_types, $D268)&gt;0,0, (($F268-$E268)-$G268)*24)</f>
        <v>0</v>
      </c>
      <c r="J268" s="24">
        <f t="shared" si="16"/>
        <v>0</v>
      </c>
      <c r="K268" s="7"/>
    </row>
    <row r="269" spans="1:13" x14ac:dyDescent="0.25">
      <c r="A269" s="3">
        <v>41906</v>
      </c>
      <c r="B269" s="12" t="str">
        <f t="shared" ref="B269:B332" si="18">CHOOSE(WEEKDAY($A269,2),"Mon","Tue","Wed","Thu","Fri","Sat","Sun")</f>
        <v>Tue</v>
      </c>
      <c r="C269" s="7">
        <f t="shared" si="17"/>
        <v>39</v>
      </c>
      <c r="H269" s="22">
        <f>IF(AND(WEEKDAY($A269,2)&lt;=5,COUNTIF(timeaway_types, $A269)=0),7.8,0)</f>
        <v>7.8</v>
      </c>
      <c r="I269" s="22">
        <f>IF(COUNTIF(nonprod_types, $D269)&gt;0,0, (($F269-$E269)-$G269)*24)</f>
        <v>0</v>
      </c>
      <c r="J269" s="24">
        <f t="shared" si="16"/>
        <v>0</v>
      </c>
    </row>
    <row r="270" spans="1:13" x14ac:dyDescent="0.25">
      <c r="A270" s="3">
        <v>41907</v>
      </c>
      <c r="B270" s="12" t="str">
        <f t="shared" si="18"/>
        <v>Wed</v>
      </c>
      <c r="C270" s="7">
        <f t="shared" si="17"/>
        <v>39</v>
      </c>
      <c r="H270" s="22">
        <f>IF(AND(WEEKDAY($A270,2)&lt;=5,COUNTIF(timeaway_types, $A270)=0),7.8,0)</f>
        <v>7.8</v>
      </c>
      <c r="I270" s="22">
        <f>IF(COUNTIF(nonprod_types, $D270)&gt;0,0, (($F270-$E270)-$G270)*24)</f>
        <v>0</v>
      </c>
      <c r="J270" s="24">
        <f t="shared" si="16"/>
        <v>0</v>
      </c>
    </row>
    <row r="271" spans="1:13" x14ac:dyDescent="0.25">
      <c r="A271" s="3">
        <v>41908</v>
      </c>
      <c r="B271" s="12" t="str">
        <f t="shared" si="18"/>
        <v>Thu</v>
      </c>
      <c r="C271" s="7">
        <f t="shared" si="17"/>
        <v>39</v>
      </c>
      <c r="H271" s="22">
        <f>IF(AND(WEEKDAY($A271,2)&lt;=5,COUNTIF(timeaway_types, $A271)=0),7.8,0)</f>
        <v>7.8</v>
      </c>
      <c r="I271" s="22">
        <f>IF(COUNTIF(nonprod_types, $D271)&gt;0,0, (($F271-$E271)-$G271)*24)</f>
        <v>0</v>
      </c>
      <c r="J271" s="24">
        <f t="shared" si="16"/>
        <v>0</v>
      </c>
      <c r="K271" s="7"/>
    </row>
    <row r="272" spans="1:13" x14ac:dyDescent="0.25">
      <c r="A272" s="3">
        <v>41909</v>
      </c>
      <c r="B272" s="12" t="str">
        <f t="shared" si="18"/>
        <v>Fri</v>
      </c>
      <c r="C272" s="7">
        <f t="shared" si="17"/>
        <v>39</v>
      </c>
      <c r="H272" s="22">
        <f>IF(AND(WEEKDAY($A272,2)&lt;=5,COUNTIF(timeaway_types, $A272)=0),7.8,0)</f>
        <v>7.8</v>
      </c>
      <c r="I272" s="22">
        <f>IF(COUNTIF(nonprod_types, $D272)&gt;0,0, (($F272-$E272)-$G272)*24)</f>
        <v>0</v>
      </c>
      <c r="J272" s="24">
        <f t="shared" si="16"/>
        <v>0</v>
      </c>
    </row>
    <row r="273" spans="1:10" x14ac:dyDescent="0.25">
      <c r="A273" s="3">
        <v>41910</v>
      </c>
      <c r="B273" s="12" t="str">
        <f t="shared" si="18"/>
        <v>Sat</v>
      </c>
      <c r="C273" s="7">
        <f t="shared" si="17"/>
        <v>39</v>
      </c>
      <c r="H273" s="22">
        <f>IF(AND(WEEKDAY($A273,2)&lt;=5,COUNTIF(timeaway_types, $A273)=0),7.8,0)</f>
        <v>0</v>
      </c>
      <c r="I273" s="22">
        <f>IF(COUNTIF(nonprod_types, $D273)&gt;0,0, (($F273-$E273)-$G273)*24)</f>
        <v>0</v>
      </c>
      <c r="J273" s="24">
        <f t="shared" si="16"/>
        <v>0</v>
      </c>
    </row>
    <row r="274" spans="1:10" x14ac:dyDescent="0.25">
      <c r="A274" s="3">
        <v>41911</v>
      </c>
      <c r="B274" s="12" t="str">
        <f t="shared" si="18"/>
        <v>Sun</v>
      </c>
      <c r="C274" s="7">
        <f t="shared" si="17"/>
        <v>39</v>
      </c>
      <c r="H274" s="22">
        <f>IF(AND(WEEKDAY($A274,2)&lt;=5,COUNTIF(timeaway_types, $A274)=0),7.8,0)</f>
        <v>0</v>
      </c>
      <c r="I274" s="22">
        <f>IF(COUNTIF(nonprod_types, $D274)&gt;0,0, (($F274-$E274)-$G274)*24)</f>
        <v>0</v>
      </c>
      <c r="J274" s="24">
        <f t="shared" si="16"/>
        <v>0</v>
      </c>
    </row>
    <row r="275" spans="1:10" x14ac:dyDescent="0.25">
      <c r="A275" s="3">
        <v>41912</v>
      </c>
      <c r="B275" s="12" t="str">
        <f t="shared" si="18"/>
        <v>Mon</v>
      </c>
      <c r="C275" s="7">
        <f t="shared" si="17"/>
        <v>40</v>
      </c>
      <c r="H275" s="22">
        <f>IF(AND(WEEKDAY($A275,2)&lt;=5,COUNTIF(timeaway_types, $A275)=0),7.8,0)</f>
        <v>7.8</v>
      </c>
      <c r="I275" s="22">
        <f>IF(COUNTIF(nonprod_types, $D275)&gt;0,0, (($F275-$E275)-$G275)*24)</f>
        <v>0</v>
      </c>
      <c r="J275" s="24">
        <f t="shared" si="16"/>
        <v>0</v>
      </c>
    </row>
    <row r="276" spans="1:10" x14ac:dyDescent="0.25">
      <c r="A276" s="3">
        <v>41913</v>
      </c>
      <c r="B276" s="12" t="str">
        <f t="shared" si="18"/>
        <v>Tue</v>
      </c>
      <c r="C276" s="7">
        <f t="shared" si="17"/>
        <v>40</v>
      </c>
      <c r="H276" s="22">
        <f>IF(AND(WEEKDAY($A276,2)&lt;=5,COUNTIF(timeaway_types, $A276)=0),7.8,0)</f>
        <v>7.8</v>
      </c>
      <c r="I276" s="22">
        <f>IF(COUNTIF(nonprod_types, $D276)&gt;0,0, (($F276-$E276)-$G276)*24)</f>
        <v>0</v>
      </c>
      <c r="J276" s="24">
        <f t="shared" si="16"/>
        <v>0</v>
      </c>
    </row>
    <row r="277" spans="1:10" x14ac:dyDescent="0.25">
      <c r="A277" s="3">
        <v>41914</v>
      </c>
      <c r="B277" s="12" t="str">
        <f t="shared" si="18"/>
        <v>Wed</v>
      </c>
      <c r="C277" s="7">
        <f t="shared" si="17"/>
        <v>40</v>
      </c>
      <c r="H277" s="22">
        <f>IF(AND(WEEKDAY($A277,2)&lt;=5,COUNTIF(timeaway_types, $A277)=0),7.8,0)</f>
        <v>7.8</v>
      </c>
      <c r="I277" s="22">
        <f>IF(COUNTIF(nonprod_types, $D277)&gt;0,0, (($F277-$E277)-$G277)*24)</f>
        <v>0</v>
      </c>
      <c r="J277" s="24">
        <f t="shared" si="16"/>
        <v>0</v>
      </c>
    </row>
    <row r="278" spans="1:10" x14ac:dyDescent="0.25">
      <c r="A278" s="3">
        <v>41915</v>
      </c>
      <c r="B278" s="12" t="str">
        <f t="shared" si="18"/>
        <v>Thu</v>
      </c>
      <c r="C278" s="7">
        <f t="shared" si="17"/>
        <v>40</v>
      </c>
      <c r="H278" s="22">
        <f>IF(AND(WEEKDAY($A278,2)&lt;=5,COUNTIF(timeaway_types, $A278)=0),7.8,0)</f>
        <v>7.8</v>
      </c>
      <c r="I278" s="22">
        <f>IF(COUNTIF(nonprod_types, $D278)&gt;0,0, (($F278-$E278)-$G278)*24)</f>
        <v>0</v>
      </c>
      <c r="J278" s="24">
        <f t="shared" si="16"/>
        <v>0</v>
      </c>
    </row>
    <row r="279" spans="1:10" x14ac:dyDescent="0.25">
      <c r="A279" s="3">
        <v>41916</v>
      </c>
      <c r="B279" s="12" t="str">
        <f t="shared" si="18"/>
        <v>Fri</v>
      </c>
      <c r="C279" s="7">
        <f t="shared" si="17"/>
        <v>40</v>
      </c>
      <c r="H279" s="22">
        <f>IF(AND(WEEKDAY($A279,2)&lt;=5,COUNTIF(timeaway_types, $A279)=0),7.8,0)</f>
        <v>7.8</v>
      </c>
      <c r="I279" s="22">
        <f>IF(COUNTIF(nonprod_types, $D279)&gt;0,0, (($F279-$E279)-$G279)*24)</f>
        <v>0</v>
      </c>
      <c r="J279" s="24">
        <f t="shared" si="16"/>
        <v>0</v>
      </c>
    </row>
    <row r="280" spans="1:10" x14ac:dyDescent="0.25">
      <c r="A280" s="3">
        <v>41917</v>
      </c>
      <c r="B280" s="12" t="str">
        <f t="shared" si="18"/>
        <v>Sat</v>
      </c>
      <c r="C280" s="7">
        <f t="shared" si="17"/>
        <v>40</v>
      </c>
      <c r="H280" s="22">
        <f>IF(AND(WEEKDAY($A280,2)&lt;=5,COUNTIF(timeaway_types, $A280)=0),7.8,0)</f>
        <v>0</v>
      </c>
      <c r="I280" s="22">
        <f>IF(COUNTIF(nonprod_types, $D280)&gt;0,0, (($F280-$E280)-$G280)*24)</f>
        <v>0</v>
      </c>
      <c r="J280" s="24">
        <f t="shared" si="16"/>
        <v>0</v>
      </c>
    </row>
    <row r="281" spans="1:10" x14ac:dyDescent="0.25">
      <c r="A281" s="3">
        <v>41918</v>
      </c>
      <c r="B281" s="12" t="str">
        <f t="shared" si="18"/>
        <v>Sun</v>
      </c>
      <c r="C281" s="7">
        <f t="shared" si="17"/>
        <v>40</v>
      </c>
      <c r="H281" s="22">
        <f>IF(AND(WEEKDAY($A281,2)&lt;=5,COUNTIF(timeaway_types, $A281)=0),7.8,0)</f>
        <v>0</v>
      </c>
      <c r="I281" s="22">
        <f>IF(COUNTIF(nonprod_types, $D281)&gt;0,0, (($F281-$E281)-$G281)*24)</f>
        <v>0</v>
      </c>
      <c r="J281" s="24">
        <f t="shared" si="16"/>
        <v>0</v>
      </c>
    </row>
    <row r="282" spans="1:10" x14ac:dyDescent="0.25">
      <c r="A282" s="3">
        <v>41919</v>
      </c>
      <c r="B282" s="12" t="str">
        <f t="shared" si="18"/>
        <v>Mon</v>
      </c>
      <c r="C282" s="7">
        <f t="shared" si="17"/>
        <v>41</v>
      </c>
      <c r="H282" s="22">
        <f>IF(AND(WEEKDAY($A282,2)&lt;=5,COUNTIF(timeaway_types, $A282)=0),7.8,0)</f>
        <v>7.8</v>
      </c>
      <c r="I282" s="22">
        <f>IF(COUNTIF(nonprod_types, $D282)&gt;0,0, (($F282-$E282)-$G282)*24)</f>
        <v>0</v>
      </c>
      <c r="J282" s="24">
        <f t="shared" si="16"/>
        <v>0</v>
      </c>
    </row>
    <row r="283" spans="1:10" x14ac:dyDescent="0.25">
      <c r="A283" s="3">
        <v>41920</v>
      </c>
      <c r="B283" s="12" t="str">
        <f t="shared" si="18"/>
        <v>Tue</v>
      </c>
      <c r="C283" s="7">
        <f t="shared" si="17"/>
        <v>41</v>
      </c>
      <c r="H283" s="22">
        <f>IF(AND(WEEKDAY($A283,2)&lt;=5,COUNTIF(timeaway_types, $A283)=0),7.8,0)</f>
        <v>7.8</v>
      </c>
      <c r="I283" s="22">
        <f>IF(COUNTIF(nonprod_types, $D283)&gt;0,0, (($F283-$E283)-$G283)*24)</f>
        <v>0</v>
      </c>
      <c r="J283" s="24">
        <f t="shared" si="16"/>
        <v>0</v>
      </c>
    </row>
    <row r="284" spans="1:10" x14ac:dyDescent="0.25">
      <c r="A284" s="3">
        <v>41921</v>
      </c>
      <c r="B284" s="12" t="str">
        <f t="shared" si="18"/>
        <v>Wed</v>
      </c>
      <c r="C284" s="7">
        <f t="shared" si="17"/>
        <v>41</v>
      </c>
      <c r="H284" s="22">
        <f>IF(AND(WEEKDAY($A284,2)&lt;=5,COUNTIF(timeaway_types, $A284)=0),7.8,0)</f>
        <v>7.8</v>
      </c>
      <c r="I284" s="22">
        <f>IF(COUNTIF(nonprod_types, $D284)&gt;0,0, (($F284-$E284)-$G284)*24)</f>
        <v>0</v>
      </c>
      <c r="J284" s="24">
        <f t="shared" si="16"/>
        <v>0</v>
      </c>
    </row>
    <row r="285" spans="1:10" x14ac:dyDescent="0.25">
      <c r="A285" s="3">
        <v>41922</v>
      </c>
      <c r="B285" s="12" t="str">
        <f t="shared" si="18"/>
        <v>Thu</v>
      </c>
      <c r="C285" s="7">
        <f t="shared" si="17"/>
        <v>41</v>
      </c>
      <c r="H285" s="22">
        <f>IF(AND(WEEKDAY($A285,2)&lt;=5,COUNTIF(timeaway_types, $A285)=0),7.8,0)</f>
        <v>7.8</v>
      </c>
      <c r="I285" s="22">
        <f>IF(COUNTIF(nonprod_types, $D285)&gt;0,0, (($F285-$E285)-$G285)*24)</f>
        <v>0</v>
      </c>
      <c r="J285" s="24">
        <f t="shared" si="16"/>
        <v>0</v>
      </c>
    </row>
    <row r="286" spans="1:10" x14ac:dyDescent="0.25">
      <c r="A286" s="3">
        <v>41923</v>
      </c>
      <c r="B286" s="12" t="str">
        <f t="shared" si="18"/>
        <v>Fri</v>
      </c>
      <c r="C286" s="7">
        <f t="shared" si="17"/>
        <v>41</v>
      </c>
      <c r="H286" s="22">
        <f>IF(AND(WEEKDAY($A286,2)&lt;=5,COUNTIF(timeaway_types, $A286)=0),7.8,0)</f>
        <v>7.8</v>
      </c>
      <c r="I286" s="22">
        <f>IF(COUNTIF(nonprod_types, $D286)&gt;0,0, (($F286-$E286)-$G286)*24)</f>
        <v>0</v>
      </c>
      <c r="J286" s="24">
        <f t="shared" si="16"/>
        <v>0</v>
      </c>
    </row>
    <row r="287" spans="1:10" x14ac:dyDescent="0.25">
      <c r="A287" s="3">
        <v>41924</v>
      </c>
      <c r="B287" s="12" t="str">
        <f t="shared" si="18"/>
        <v>Sat</v>
      </c>
      <c r="C287" s="7">
        <f t="shared" si="17"/>
        <v>41</v>
      </c>
      <c r="H287" s="22">
        <f>IF(AND(WEEKDAY($A287,2)&lt;=5,COUNTIF(timeaway_types, $A287)=0),7.8,0)</f>
        <v>0</v>
      </c>
      <c r="I287" s="22">
        <f>IF(COUNTIF(nonprod_types, $D287)&gt;0,0, (($F287-$E287)-$G287)*24)</f>
        <v>0</v>
      </c>
      <c r="J287" s="24">
        <f t="shared" si="16"/>
        <v>0</v>
      </c>
    </row>
    <row r="288" spans="1:10" x14ac:dyDescent="0.25">
      <c r="A288" s="3">
        <v>41925</v>
      </c>
      <c r="B288" s="12" t="str">
        <f t="shared" si="18"/>
        <v>Sun</v>
      </c>
      <c r="C288" s="7">
        <f t="shared" si="17"/>
        <v>41</v>
      </c>
      <c r="H288" s="22">
        <f>IF(AND(WEEKDAY($A288,2)&lt;=5,COUNTIF(timeaway_types, $A288)=0),7.8,0)</f>
        <v>0</v>
      </c>
      <c r="I288" s="22">
        <f>IF(COUNTIF(nonprod_types, $D288)&gt;0,0, (($F288-$E288)-$G288)*24)</f>
        <v>0</v>
      </c>
      <c r="J288" s="24">
        <f t="shared" si="16"/>
        <v>0</v>
      </c>
    </row>
    <row r="289" spans="1:10" x14ac:dyDescent="0.25">
      <c r="A289" s="3">
        <v>41926</v>
      </c>
      <c r="B289" s="12" t="str">
        <f t="shared" si="18"/>
        <v>Mon</v>
      </c>
      <c r="C289" s="7">
        <f t="shared" si="17"/>
        <v>42</v>
      </c>
      <c r="H289" s="22">
        <f>IF(AND(WEEKDAY($A289,2)&lt;=5,COUNTIF(timeaway_types, $A289)=0),7.8,0)</f>
        <v>7.8</v>
      </c>
      <c r="I289" s="22">
        <f>IF(COUNTIF(nonprod_types, $D289)&gt;0,0, (($F289-$E289)-$G289)*24)</f>
        <v>0</v>
      </c>
      <c r="J289" s="24">
        <f t="shared" si="16"/>
        <v>0</v>
      </c>
    </row>
    <row r="290" spans="1:10" x14ac:dyDescent="0.25">
      <c r="A290" s="3">
        <v>41927</v>
      </c>
      <c r="B290" s="12" t="str">
        <f t="shared" si="18"/>
        <v>Tue</v>
      </c>
      <c r="C290" s="7">
        <f t="shared" si="17"/>
        <v>42</v>
      </c>
      <c r="H290" s="22">
        <f>IF(AND(WEEKDAY($A290,2)&lt;=5,COUNTIF(timeaway_types, $A290)=0),7.8,0)</f>
        <v>7.8</v>
      </c>
      <c r="I290" s="22">
        <f>IF(COUNTIF(nonprod_types, $D290)&gt;0,0, (($F290-$E290)-$G290)*24)</f>
        <v>0</v>
      </c>
      <c r="J290" s="24">
        <f t="shared" si="16"/>
        <v>0</v>
      </c>
    </row>
    <row r="291" spans="1:10" x14ac:dyDescent="0.25">
      <c r="A291" s="3">
        <v>41928</v>
      </c>
      <c r="B291" s="12" t="str">
        <f t="shared" si="18"/>
        <v>Wed</v>
      </c>
      <c r="C291" s="7">
        <f t="shared" si="17"/>
        <v>42</v>
      </c>
      <c r="H291" s="22">
        <f>IF(AND(WEEKDAY($A291,2)&lt;=5,COUNTIF(timeaway_types, $A291)=0),7.8,0)</f>
        <v>7.8</v>
      </c>
      <c r="I291" s="22">
        <f>IF(COUNTIF(nonprod_types, $D291)&gt;0,0, (($F291-$E291)-$G291)*24)</f>
        <v>0</v>
      </c>
      <c r="J291" s="24">
        <f t="shared" si="16"/>
        <v>0</v>
      </c>
    </row>
    <row r="292" spans="1:10" x14ac:dyDescent="0.25">
      <c r="A292" s="3">
        <v>41929</v>
      </c>
      <c r="B292" s="12" t="str">
        <f t="shared" si="18"/>
        <v>Thu</v>
      </c>
      <c r="C292" s="7">
        <f t="shared" si="17"/>
        <v>42</v>
      </c>
      <c r="H292" s="22">
        <f>IF(AND(WEEKDAY($A292,2)&lt;=5,COUNTIF(timeaway_types, $A292)=0),7.8,0)</f>
        <v>7.8</v>
      </c>
      <c r="I292" s="22">
        <f>IF(COUNTIF(nonprod_types, $D292)&gt;0,0, (($F292-$E292)-$G292)*24)</f>
        <v>0</v>
      </c>
      <c r="J292" s="24">
        <f t="shared" si="16"/>
        <v>0</v>
      </c>
    </row>
    <row r="293" spans="1:10" x14ac:dyDescent="0.25">
      <c r="A293" s="3">
        <v>41930</v>
      </c>
      <c r="B293" s="12" t="str">
        <f t="shared" si="18"/>
        <v>Fri</v>
      </c>
      <c r="C293" s="7">
        <f t="shared" si="17"/>
        <v>42</v>
      </c>
      <c r="H293" s="22">
        <f>IF(AND(WEEKDAY($A293,2)&lt;=5,COUNTIF(timeaway_types, $A293)=0),7.8,0)</f>
        <v>7.8</v>
      </c>
      <c r="I293" s="22">
        <f>IF(COUNTIF(nonprod_types, $D293)&gt;0,0, (($F293-$E293)-$G293)*24)</f>
        <v>0</v>
      </c>
      <c r="J293" s="24">
        <f t="shared" si="16"/>
        <v>0</v>
      </c>
    </row>
    <row r="294" spans="1:10" x14ac:dyDescent="0.25">
      <c r="A294" s="3">
        <v>41931</v>
      </c>
      <c r="B294" s="12" t="str">
        <f t="shared" si="18"/>
        <v>Sat</v>
      </c>
      <c r="C294" s="7">
        <f t="shared" si="17"/>
        <v>42</v>
      </c>
      <c r="H294" s="22">
        <f>IF(AND(WEEKDAY($A294,2)&lt;=5,COUNTIF(timeaway_types, $A294)=0),7.8,0)</f>
        <v>0</v>
      </c>
      <c r="I294" s="22">
        <f>IF(COUNTIF(nonprod_types, $D294)&gt;0,0, (($F294-$E294)-$G294)*24)</f>
        <v>0</v>
      </c>
      <c r="J294" s="24">
        <f t="shared" si="16"/>
        <v>0</v>
      </c>
    </row>
    <row r="295" spans="1:10" x14ac:dyDescent="0.25">
      <c r="A295" s="3">
        <v>41932</v>
      </c>
      <c r="B295" s="12" t="str">
        <f t="shared" si="18"/>
        <v>Sun</v>
      </c>
      <c r="C295" s="7">
        <f t="shared" si="17"/>
        <v>42</v>
      </c>
      <c r="H295" s="22">
        <f>IF(AND(WEEKDAY($A295,2)&lt;=5,COUNTIF(timeaway_types, $A295)=0),7.8,0)</f>
        <v>0</v>
      </c>
      <c r="I295" s="22">
        <f>IF(COUNTIF(nonprod_types, $D295)&gt;0,0, (($F295-$E295)-$G295)*24)</f>
        <v>0</v>
      </c>
      <c r="J295" s="24">
        <f t="shared" si="16"/>
        <v>0</v>
      </c>
    </row>
    <row r="296" spans="1:10" x14ac:dyDescent="0.25">
      <c r="A296" s="3">
        <v>41933</v>
      </c>
      <c r="B296" s="12" t="str">
        <f t="shared" si="18"/>
        <v>Mon</v>
      </c>
      <c r="C296" s="7">
        <f t="shared" si="17"/>
        <v>43</v>
      </c>
      <c r="H296" s="22">
        <f>IF(AND(WEEKDAY($A296,2)&lt;=5,COUNTIF(timeaway_types, $A296)=0),7.8,0)</f>
        <v>7.8</v>
      </c>
      <c r="I296" s="22">
        <f>IF(COUNTIF(nonprod_types, $D296)&gt;0,0, (($F296-$E296)-$G296)*24)</f>
        <v>0</v>
      </c>
      <c r="J296" s="24">
        <f t="shared" si="16"/>
        <v>0</v>
      </c>
    </row>
    <row r="297" spans="1:10" x14ac:dyDescent="0.25">
      <c r="A297" s="3">
        <v>41934</v>
      </c>
      <c r="B297" s="12" t="str">
        <f t="shared" si="18"/>
        <v>Tue</v>
      </c>
      <c r="C297" s="7">
        <f t="shared" si="17"/>
        <v>43</v>
      </c>
      <c r="H297" s="22">
        <f>IF(AND(WEEKDAY($A297,2)&lt;=5,COUNTIF(timeaway_types, $A297)=0),7.8,0)</f>
        <v>7.8</v>
      </c>
      <c r="I297" s="22">
        <f>IF(COUNTIF(nonprod_types, $D297)&gt;0,0, (($F297-$E297)-$G297)*24)</f>
        <v>0</v>
      </c>
      <c r="J297" s="24">
        <f t="shared" si="16"/>
        <v>0</v>
      </c>
    </row>
    <row r="298" spans="1:10" x14ac:dyDescent="0.25">
      <c r="A298" s="3">
        <v>41935</v>
      </c>
      <c r="B298" s="12" t="str">
        <f t="shared" si="18"/>
        <v>Wed</v>
      </c>
      <c r="C298" s="7">
        <f t="shared" si="17"/>
        <v>43</v>
      </c>
      <c r="H298" s="22">
        <f>IF(AND(WEEKDAY($A298,2)&lt;=5,COUNTIF(timeaway_types, $A298)=0),7.8,0)</f>
        <v>7.8</v>
      </c>
      <c r="I298" s="22">
        <f>IF(COUNTIF(nonprod_types, $D298)&gt;0,0, (($F298-$E298)-$G298)*24)</f>
        <v>0</v>
      </c>
      <c r="J298" s="24">
        <f t="shared" si="16"/>
        <v>0</v>
      </c>
    </row>
    <row r="299" spans="1:10" x14ac:dyDescent="0.25">
      <c r="A299" s="3">
        <v>41936</v>
      </c>
      <c r="B299" s="12" t="str">
        <f t="shared" si="18"/>
        <v>Thu</v>
      </c>
      <c r="C299" s="7">
        <f t="shared" si="17"/>
        <v>43</v>
      </c>
      <c r="H299" s="22">
        <f>IF(AND(WEEKDAY($A299,2)&lt;=5,COUNTIF(timeaway_types, $A299)=0),7.8,0)</f>
        <v>7.8</v>
      </c>
      <c r="I299" s="22">
        <f>IF(COUNTIF(nonprod_types, $D299)&gt;0,0, (($F299-$E299)-$G299)*24)</f>
        <v>0</v>
      </c>
      <c r="J299" s="24">
        <f t="shared" si="16"/>
        <v>0</v>
      </c>
    </row>
    <row r="300" spans="1:10" x14ac:dyDescent="0.25">
      <c r="A300" s="3">
        <v>41937</v>
      </c>
      <c r="B300" s="12" t="str">
        <f t="shared" si="18"/>
        <v>Fri</v>
      </c>
      <c r="C300" s="7">
        <f t="shared" si="17"/>
        <v>43</v>
      </c>
      <c r="H300" s="22">
        <f>IF(AND(WEEKDAY($A300,2)&lt;=5,COUNTIF(timeaway_types, $A300)=0),7.8,0)</f>
        <v>7.8</v>
      </c>
      <c r="I300" s="22">
        <f>IF(COUNTIF(nonprod_types, $D300)&gt;0,0, (($F300-$E300)-$G300)*24)</f>
        <v>0</v>
      </c>
      <c r="J300" s="24">
        <f t="shared" si="16"/>
        <v>0</v>
      </c>
    </row>
    <row r="301" spans="1:10" x14ac:dyDescent="0.25">
      <c r="A301" s="3">
        <v>41938</v>
      </c>
      <c r="B301" s="12" t="str">
        <f t="shared" si="18"/>
        <v>Sat</v>
      </c>
      <c r="C301" s="7">
        <f t="shared" si="17"/>
        <v>43</v>
      </c>
      <c r="H301" s="22">
        <f>IF(AND(WEEKDAY($A301,2)&lt;=5,COUNTIF(timeaway_types, $A301)=0),7.8,0)</f>
        <v>0</v>
      </c>
      <c r="I301" s="22">
        <f>IF(COUNTIF(nonprod_types, $D301)&gt;0,0, (($F301-$E301)-$G301)*24)</f>
        <v>0</v>
      </c>
      <c r="J301" s="24">
        <f t="shared" si="16"/>
        <v>0</v>
      </c>
    </row>
    <row r="302" spans="1:10" x14ac:dyDescent="0.25">
      <c r="A302" s="3">
        <v>41939</v>
      </c>
      <c r="B302" s="12" t="str">
        <f t="shared" si="18"/>
        <v>Sun</v>
      </c>
      <c r="C302" s="7">
        <f t="shared" si="17"/>
        <v>43</v>
      </c>
      <c r="H302" s="22">
        <f>IF(AND(WEEKDAY($A302,2)&lt;=5,COUNTIF(timeaway_types, $A302)=0),7.8,0)</f>
        <v>0</v>
      </c>
      <c r="I302" s="22">
        <f>IF(COUNTIF(nonprod_types, $D302)&gt;0,0, (($F302-$E302)-$G302)*24)</f>
        <v>0</v>
      </c>
      <c r="J302" s="24">
        <f t="shared" si="16"/>
        <v>0</v>
      </c>
    </row>
    <row r="303" spans="1:10" x14ac:dyDescent="0.25">
      <c r="A303" s="3">
        <v>41940</v>
      </c>
      <c r="B303" s="12" t="str">
        <f t="shared" si="18"/>
        <v>Mon</v>
      </c>
      <c r="C303" s="7">
        <f t="shared" si="17"/>
        <v>44</v>
      </c>
      <c r="H303" s="22">
        <f>IF(AND(WEEKDAY($A303,2)&lt;=5,COUNTIF(timeaway_types, $A303)=0),7.8,0)</f>
        <v>7.8</v>
      </c>
      <c r="I303" s="22">
        <f>IF(COUNTIF(nonprod_types, $D303)&gt;0,0, (($F303-$E303)-$G303)*24)</f>
        <v>0</v>
      </c>
      <c r="J303" s="24">
        <f t="shared" si="16"/>
        <v>0</v>
      </c>
    </row>
    <row r="304" spans="1:10" x14ac:dyDescent="0.25">
      <c r="A304" s="3">
        <v>41941</v>
      </c>
      <c r="B304" s="12" t="str">
        <f t="shared" si="18"/>
        <v>Tue</v>
      </c>
      <c r="C304" s="7">
        <f t="shared" si="17"/>
        <v>44</v>
      </c>
      <c r="H304" s="22">
        <f>IF(AND(WEEKDAY($A304,2)&lt;=5,COUNTIF(timeaway_types, $A304)=0),7.8,0)</f>
        <v>7.8</v>
      </c>
      <c r="I304" s="22">
        <f>IF(COUNTIF(nonprod_types, $D304)&gt;0,0, (($F304-$E304)-$G304)*24)</f>
        <v>0</v>
      </c>
      <c r="J304" s="24">
        <f t="shared" si="16"/>
        <v>0</v>
      </c>
    </row>
    <row r="305" spans="1:10" x14ac:dyDescent="0.25">
      <c r="A305" s="3">
        <v>41942</v>
      </c>
      <c r="B305" s="12" t="str">
        <f t="shared" si="18"/>
        <v>Wed</v>
      </c>
      <c r="C305" s="7">
        <f t="shared" si="17"/>
        <v>44</v>
      </c>
      <c r="H305" s="22">
        <f>IF(AND(WEEKDAY($A305,2)&lt;=5,COUNTIF(timeaway_types, $A305)=0),7.8,0)</f>
        <v>7.8</v>
      </c>
      <c r="I305" s="22">
        <f>IF(COUNTIF(nonprod_types, $D305)&gt;0,0, (($F305-$E305)-$G305)*24)</f>
        <v>0</v>
      </c>
      <c r="J305" s="24">
        <f t="shared" si="16"/>
        <v>0</v>
      </c>
    </row>
    <row r="306" spans="1:10" x14ac:dyDescent="0.25">
      <c r="A306" s="3">
        <v>41943</v>
      </c>
      <c r="B306" s="12" t="str">
        <f t="shared" si="18"/>
        <v>Thu</v>
      </c>
      <c r="C306" s="7">
        <f t="shared" si="17"/>
        <v>44</v>
      </c>
      <c r="H306" s="22">
        <f>IF(AND(WEEKDAY($A306,2)&lt;=5,COUNTIF(timeaway_types, $A306)=0),7.8,0)</f>
        <v>7.8</v>
      </c>
      <c r="I306" s="22">
        <f>IF(COUNTIF(nonprod_types, $D306)&gt;0,0, (($F306-$E306)-$G306)*24)</f>
        <v>0</v>
      </c>
      <c r="J306" s="24">
        <f t="shared" si="16"/>
        <v>0</v>
      </c>
    </row>
    <row r="307" spans="1:10" x14ac:dyDescent="0.25">
      <c r="A307" s="3">
        <v>41944</v>
      </c>
      <c r="B307" s="12" t="str">
        <f t="shared" si="18"/>
        <v>Fri</v>
      </c>
      <c r="C307" s="7">
        <f t="shared" si="17"/>
        <v>44</v>
      </c>
      <c r="H307" s="22">
        <f>IF(AND(WEEKDAY($A307,2)&lt;=5,COUNTIF(timeaway_types, $A307)=0),7.8,0)</f>
        <v>7.8</v>
      </c>
      <c r="I307" s="22">
        <f>IF(COUNTIF(nonprod_types, $D307)&gt;0,0, (($F307-$E307)-$G307)*24)</f>
        <v>0</v>
      </c>
      <c r="J307" s="24">
        <f t="shared" si="16"/>
        <v>0</v>
      </c>
    </row>
    <row r="308" spans="1:10" x14ac:dyDescent="0.25">
      <c r="A308" s="3">
        <v>41945</v>
      </c>
      <c r="B308" s="12" t="str">
        <f t="shared" si="18"/>
        <v>Sat</v>
      </c>
      <c r="C308" s="7">
        <f t="shared" si="17"/>
        <v>44</v>
      </c>
      <c r="H308" s="22">
        <f>IF(AND(WEEKDAY($A308,2)&lt;=5,COUNTIF(timeaway_types, $A308)=0),7.8,0)</f>
        <v>0</v>
      </c>
      <c r="I308" s="22">
        <f>IF(COUNTIF(nonprod_types, $D308)&gt;0,0, (($F308-$E308)-$G308)*24)</f>
        <v>0</v>
      </c>
      <c r="J308" s="24">
        <f t="shared" si="16"/>
        <v>0</v>
      </c>
    </row>
    <row r="309" spans="1:10" x14ac:dyDescent="0.25">
      <c r="A309" s="3">
        <v>41946</v>
      </c>
      <c r="B309" s="12" t="str">
        <f t="shared" si="18"/>
        <v>Sun</v>
      </c>
      <c r="C309" s="7">
        <f t="shared" si="17"/>
        <v>44</v>
      </c>
      <c r="H309" s="22">
        <f>IF(AND(WEEKDAY($A309,2)&lt;=5,COUNTIF(timeaway_types, $A309)=0),7.8,0)</f>
        <v>0</v>
      </c>
      <c r="I309" s="22">
        <f>IF(COUNTIF(nonprod_types, $D309)&gt;0,0, (($F309-$E309)-$G309)*24)</f>
        <v>0</v>
      </c>
      <c r="J309" s="24">
        <f t="shared" si="16"/>
        <v>0</v>
      </c>
    </row>
    <row r="310" spans="1:10" x14ac:dyDescent="0.25">
      <c r="A310" s="3">
        <v>41947</v>
      </c>
      <c r="B310" s="12" t="str">
        <f t="shared" si="18"/>
        <v>Mon</v>
      </c>
      <c r="C310" s="7">
        <f t="shared" si="17"/>
        <v>45</v>
      </c>
      <c r="H310" s="22">
        <f>IF(AND(WEEKDAY($A310,2)&lt;=5,COUNTIF(timeaway_types, $A310)=0),7.8,0)</f>
        <v>7.8</v>
      </c>
      <c r="I310" s="22">
        <f>IF(COUNTIF(nonprod_types, $D310)&gt;0,0, (($F310-$E310)-$G310)*24)</f>
        <v>0</v>
      </c>
      <c r="J310" s="24">
        <f t="shared" si="16"/>
        <v>0</v>
      </c>
    </row>
    <row r="311" spans="1:10" x14ac:dyDescent="0.25">
      <c r="A311" s="3">
        <v>41948</v>
      </c>
      <c r="B311" s="12" t="str">
        <f t="shared" si="18"/>
        <v>Tue</v>
      </c>
      <c r="C311" s="7">
        <f t="shared" si="17"/>
        <v>45</v>
      </c>
      <c r="H311" s="22">
        <f>IF(AND(WEEKDAY($A311,2)&lt;=5,COUNTIF(timeaway_types, $A311)=0),7.8,0)</f>
        <v>7.8</v>
      </c>
      <c r="I311" s="22">
        <f>IF(COUNTIF(nonprod_types, $D311)&gt;0,0, (($F311-$E311)-$G311)*24)</f>
        <v>0</v>
      </c>
      <c r="J311" s="24">
        <f t="shared" si="16"/>
        <v>0</v>
      </c>
    </row>
    <row r="312" spans="1:10" x14ac:dyDescent="0.25">
      <c r="A312" s="3">
        <v>41949</v>
      </c>
      <c r="B312" s="12" t="str">
        <f t="shared" si="18"/>
        <v>Wed</v>
      </c>
      <c r="C312" s="7">
        <f t="shared" si="17"/>
        <v>45</v>
      </c>
      <c r="H312" s="22">
        <f>IF(AND(WEEKDAY($A312,2)&lt;=5,COUNTIF(timeaway_types, $A312)=0),7.8,0)</f>
        <v>7.8</v>
      </c>
      <c r="I312" s="22">
        <f>IF(COUNTIF(nonprod_types, $D312)&gt;0,0, (($F312-$E312)-$G312)*24)</f>
        <v>0</v>
      </c>
      <c r="J312" s="24">
        <f t="shared" si="16"/>
        <v>0</v>
      </c>
    </row>
    <row r="313" spans="1:10" x14ac:dyDescent="0.25">
      <c r="A313" s="3">
        <v>41950</v>
      </c>
      <c r="B313" s="12" t="str">
        <f t="shared" si="18"/>
        <v>Thu</v>
      </c>
      <c r="C313" s="7">
        <f t="shared" si="17"/>
        <v>45</v>
      </c>
      <c r="H313" s="22">
        <f>IF(AND(WEEKDAY($A313,2)&lt;=5,COUNTIF(timeaway_types, $A313)=0),7.8,0)</f>
        <v>7.8</v>
      </c>
      <c r="I313" s="22">
        <f>IF(COUNTIF(nonprod_types, $D313)&gt;0,0, (($F313-$E313)-$G313)*24)</f>
        <v>0</v>
      </c>
      <c r="J313" s="24">
        <f t="shared" si="16"/>
        <v>0</v>
      </c>
    </row>
    <row r="314" spans="1:10" x14ac:dyDescent="0.25">
      <c r="A314" s="3">
        <v>41951</v>
      </c>
      <c r="B314" s="12" t="str">
        <f t="shared" si="18"/>
        <v>Fri</v>
      </c>
      <c r="C314" s="7">
        <f t="shared" si="17"/>
        <v>45</v>
      </c>
      <c r="H314" s="22">
        <f>IF(AND(WEEKDAY($A314,2)&lt;=5,COUNTIF(timeaway_types, $A314)=0),7.8,0)</f>
        <v>7.8</v>
      </c>
      <c r="I314" s="22">
        <f>IF(COUNTIF(nonprod_types, $D314)&gt;0,0, (($F314-$E314)-$G314)*24)</f>
        <v>0</v>
      </c>
      <c r="J314" s="24">
        <f t="shared" si="16"/>
        <v>0</v>
      </c>
    </row>
    <row r="315" spans="1:10" x14ac:dyDescent="0.25">
      <c r="A315" s="3">
        <v>41952</v>
      </c>
      <c r="B315" s="12" t="str">
        <f t="shared" si="18"/>
        <v>Sat</v>
      </c>
      <c r="C315" s="7">
        <f t="shared" si="17"/>
        <v>45</v>
      </c>
      <c r="H315" s="22">
        <f>IF(AND(WEEKDAY($A315,2)&lt;=5,COUNTIF(timeaway_types, $A315)=0),7.8,0)</f>
        <v>0</v>
      </c>
      <c r="I315" s="22">
        <f>IF(COUNTIF(nonprod_types, $D315)&gt;0,0, (($F315-$E315)-$G315)*24)</f>
        <v>0</v>
      </c>
      <c r="J315" s="24">
        <f t="shared" si="16"/>
        <v>0</v>
      </c>
    </row>
    <row r="316" spans="1:10" x14ac:dyDescent="0.25">
      <c r="A316" s="3">
        <v>41953</v>
      </c>
      <c r="B316" s="12" t="str">
        <f t="shared" si="18"/>
        <v>Sun</v>
      </c>
      <c r="C316" s="7">
        <f t="shared" si="17"/>
        <v>45</v>
      </c>
      <c r="H316" s="22">
        <f>IF(AND(WEEKDAY($A316,2)&lt;=5,COUNTIF(timeaway_types, $A316)=0),7.8,0)</f>
        <v>0</v>
      </c>
      <c r="I316" s="22">
        <f>IF(COUNTIF(nonprod_types, $D316)&gt;0,0, (($F316-$E316)-$G316)*24)</f>
        <v>0</v>
      </c>
      <c r="J316" s="24">
        <f t="shared" si="16"/>
        <v>0</v>
      </c>
    </row>
    <row r="317" spans="1:10" x14ac:dyDescent="0.25">
      <c r="A317" s="3">
        <v>41954</v>
      </c>
      <c r="B317" s="12" t="str">
        <f t="shared" si="18"/>
        <v>Mon</v>
      </c>
      <c r="C317" s="7">
        <f t="shared" si="17"/>
        <v>46</v>
      </c>
      <c r="H317" s="22">
        <f>IF(AND(WEEKDAY($A317,2)&lt;=5,COUNTIF(timeaway_types, $A317)=0),7.8,0)</f>
        <v>7.8</v>
      </c>
      <c r="I317" s="22">
        <f>IF(COUNTIF(nonprod_types, $D317)&gt;0,0, (($F317-$E317)-$G317)*24)</f>
        <v>0</v>
      </c>
      <c r="J317" s="24">
        <f t="shared" si="16"/>
        <v>0</v>
      </c>
    </row>
    <row r="318" spans="1:10" x14ac:dyDescent="0.25">
      <c r="A318" s="3">
        <v>41955</v>
      </c>
      <c r="B318" s="12" t="str">
        <f t="shared" si="18"/>
        <v>Tue</v>
      </c>
      <c r="C318" s="7">
        <f t="shared" si="17"/>
        <v>46</v>
      </c>
      <c r="H318" s="22">
        <f>IF(AND(WEEKDAY($A318,2)&lt;=5,COUNTIF(timeaway_types, $A318)=0),7.8,0)</f>
        <v>7.8</v>
      </c>
      <c r="I318" s="22">
        <f>IF(COUNTIF(nonprod_types, $D318)&gt;0,0, (($F318-$E318)-$G318)*24)</f>
        <v>0</v>
      </c>
      <c r="J318" s="24">
        <f t="shared" si="16"/>
        <v>0</v>
      </c>
    </row>
    <row r="319" spans="1:10" x14ac:dyDescent="0.25">
      <c r="A319" s="3">
        <v>41956</v>
      </c>
      <c r="B319" s="12" t="str">
        <f t="shared" si="18"/>
        <v>Wed</v>
      </c>
      <c r="C319" s="7">
        <f t="shared" si="17"/>
        <v>46</v>
      </c>
      <c r="H319" s="22">
        <f>IF(AND(WEEKDAY($A319,2)&lt;=5,COUNTIF(timeaway_types, $A319)=0),7.8,0)</f>
        <v>7.8</v>
      </c>
      <c r="I319" s="22">
        <f>IF(COUNTIF(nonprod_types, $D319)&gt;0,0, (($F319-$E319)-$G319)*24)</f>
        <v>0</v>
      </c>
      <c r="J319" s="24">
        <f t="shared" si="16"/>
        <v>0</v>
      </c>
    </row>
    <row r="320" spans="1:10" x14ac:dyDescent="0.25">
      <c r="A320" s="3">
        <v>41957</v>
      </c>
      <c r="B320" s="12" t="str">
        <f t="shared" si="18"/>
        <v>Thu</v>
      </c>
      <c r="C320" s="7">
        <f t="shared" si="17"/>
        <v>46</v>
      </c>
      <c r="H320" s="22">
        <f>IF(AND(WEEKDAY($A320,2)&lt;=5,COUNTIF(timeaway_types, $A320)=0),7.8,0)</f>
        <v>7.8</v>
      </c>
      <c r="I320" s="22">
        <f>IF(COUNTIF(nonprod_types, $D320)&gt;0,0, (($F320-$E320)-$G320)*24)</f>
        <v>0</v>
      </c>
      <c r="J320" s="24">
        <f t="shared" si="16"/>
        <v>0</v>
      </c>
    </row>
    <row r="321" spans="1:10" x14ac:dyDescent="0.25">
      <c r="A321" s="3">
        <v>41958</v>
      </c>
      <c r="B321" s="12" t="str">
        <f t="shared" si="18"/>
        <v>Fri</v>
      </c>
      <c r="C321" s="7">
        <f t="shared" si="17"/>
        <v>46</v>
      </c>
      <c r="H321" s="22">
        <f>IF(AND(WEEKDAY($A321,2)&lt;=5,COUNTIF(timeaway_types, $A321)=0),7.8,0)</f>
        <v>7.8</v>
      </c>
      <c r="I321" s="22">
        <f>IF(COUNTIF(nonprod_types, $D321)&gt;0,0, (($F321-$E321)-$G321)*24)</f>
        <v>0</v>
      </c>
      <c r="J321" s="24">
        <f t="shared" si="16"/>
        <v>0</v>
      </c>
    </row>
    <row r="322" spans="1:10" x14ac:dyDescent="0.25">
      <c r="A322" s="3">
        <v>41959</v>
      </c>
      <c r="B322" s="12" t="str">
        <f t="shared" si="18"/>
        <v>Sat</v>
      </c>
      <c r="C322" s="7">
        <f t="shared" si="17"/>
        <v>46</v>
      </c>
      <c r="H322" s="22">
        <f>IF(AND(WEEKDAY($A322,2)&lt;=5,COUNTIF(timeaway_types, $A322)=0),7.8,0)</f>
        <v>0</v>
      </c>
      <c r="I322" s="22">
        <f>IF(COUNTIF(nonprod_types, $D322)&gt;0,0, (($F322-$E322)-$G322)*24)</f>
        <v>0</v>
      </c>
      <c r="J322" s="24">
        <f t="shared" si="16"/>
        <v>0</v>
      </c>
    </row>
    <row r="323" spans="1:10" x14ac:dyDescent="0.25">
      <c r="A323" s="3">
        <v>41960</v>
      </c>
      <c r="B323" s="12" t="str">
        <f t="shared" si="18"/>
        <v>Sun</v>
      </c>
      <c r="C323" s="7">
        <f t="shared" si="17"/>
        <v>46</v>
      </c>
      <c r="H323" s="22">
        <f>IF(AND(WEEKDAY($A323,2)&lt;=5,COUNTIF(timeaway_types, $A323)=0),7.8,0)</f>
        <v>0</v>
      </c>
      <c r="I323" s="22">
        <f>IF(COUNTIF(nonprod_types, $D323)&gt;0,0, (($F323-$E323)-$G323)*24)</f>
        <v>0</v>
      </c>
      <c r="J323" s="24">
        <f t="shared" si="16"/>
        <v>0</v>
      </c>
    </row>
    <row r="324" spans="1:10" x14ac:dyDescent="0.25">
      <c r="A324" s="3">
        <v>41961</v>
      </c>
      <c r="B324" s="12" t="str">
        <f t="shared" si="18"/>
        <v>Mon</v>
      </c>
      <c r="C324" s="7">
        <f t="shared" si="17"/>
        <v>47</v>
      </c>
      <c r="H324" s="22">
        <f>IF(AND(WEEKDAY($A324,2)&lt;=5,COUNTIF(timeaway_types, $A324)=0),7.8,0)</f>
        <v>7.8</v>
      </c>
      <c r="I324" s="22">
        <f>IF(COUNTIF(nonprod_types, $D324)&gt;0,0, (($F324-$E324)-$G324)*24)</f>
        <v>0</v>
      </c>
      <c r="J324" s="24">
        <f t="shared" ref="J324:J366" si="19">IF(D324="",0,$I324-$H324)</f>
        <v>0</v>
      </c>
    </row>
    <row r="325" spans="1:10" x14ac:dyDescent="0.25">
      <c r="A325" s="3">
        <v>41962</v>
      </c>
      <c r="B325" s="12" t="str">
        <f t="shared" si="18"/>
        <v>Tue</v>
      </c>
      <c r="C325" s="7">
        <f t="shared" si="17"/>
        <v>47</v>
      </c>
      <c r="H325" s="22">
        <f>IF(AND(WEEKDAY($A325,2)&lt;=5,COUNTIF(timeaway_types, $A325)=0),7.8,0)</f>
        <v>7.8</v>
      </c>
      <c r="I325" s="22">
        <f>IF(COUNTIF(nonprod_types, $D325)&gt;0,0, (($F325-$E325)-$G325)*24)</f>
        <v>0</v>
      </c>
      <c r="J325" s="24">
        <f t="shared" si="19"/>
        <v>0</v>
      </c>
    </row>
    <row r="326" spans="1:10" x14ac:dyDescent="0.25">
      <c r="A326" s="3">
        <v>41963</v>
      </c>
      <c r="B326" s="12" t="str">
        <f t="shared" si="18"/>
        <v>Wed</v>
      </c>
      <c r="C326" s="7">
        <f t="shared" si="17"/>
        <v>47</v>
      </c>
      <c r="H326" s="22">
        <f>IF(AND(WEEKDAY($A326,2)&lt;=5,COUNTIF(timeaway_types, $A326)=0),7.8,0)</f>
        <v>7.8</v>
      </c>
      <c r="I326" s="22">
        <f>IF(COUNTIF(nonprod_types, $D326)&gt;0,0, (($F326-$E326)-$G326)*24)</f>
        <v>0</v>
      </c>
      <c r="J326" s="24">
        <f t="shared" si="19"/>
        <v>0</v>
      </c>
    </row>
    <row r="327" spans="1:10" x14ac:dyDescent="0.25">
      <c r="A327" s="3">
        <v>41964</v>
      </c>
      <c r="B327" s="12" t="str">
        <f t="shared" si="18"/>
        <v>Thu</v>
      </c>
      <c r="C327" s="7">
        <f t="shared" si="17"/>
        <v>47</v>
      </c>
      <c r="H327" s="22">
        <f>IF(AND(WEEKDAY($A327,2)&lt;=5,COUNTIF(timeaway_types, $A327)=0),7.8,0)</f>
        <v>7.8</v>
      </c>
      <c r="I327" s="22">
        <f>IF(COUNTIF(nonprod_types, $D327)&gt;0,0, (($F327-$E327)-$G327)*24)</f>
        <v>0</v>
      </c>
      <c r="J327" s="24">
        <f t="shared" si="19"/>
        <v>0</v>
      </c>
    </row>
    <row r="328" spans="1:10" x14ac:dyDescent="0.25">
      <c r="A328" s="3">
        <v>41965</v>
      </c>
      <c r="B328" s="12" t="str">
        <f t="shared" si="18"/>
        <v>Fri</v>
      </c>
      <c r="C328" s="7">
        <f t="shared" si="17"/>
        <v>47</v>
      </c>
      <c r="H328" s="22">
        <f>IF(AND(WEEKDAY($A328,2)&lt;=5,COUNTIF(timeaway_types, $A328)=0),7.8,0)</f>
        <v>7.8</v>
      </c>
      <c r="I328" s="22">
        <f>IF(COUNTIF(nonprod_types, $D328)&gt;0,0, (($F328-$E328)-$G328)*24)</f>
        <v>0</v>
      </c>
      <c r="J328" s="24">
        <f t="shared" si="19"/>
        <v>0</v>
      </c>
    </row>
    <row r="329" spans="1:10" x14ac:dyDescent="0.25">
      <c r="A329" s="3">
        <v>41966</v>
      </c>
      <c r="B329" s="12" t="str">
        <f t="shared" si="18"/>
        <v>Sat</v>
      </c>
      <c r="C329" s="7">
        <f t="shared" si="17"/>
        <v>47</v>
      </c>
      <c r="H329" s="22">
        <f>IF(AND(WEEKDAY($A329,2)&lt;=5,COUNTIF(timeaway_types, $A329)=0),7.8,0)</f>
        <v>0</v>
      </c>
      <c r="I329" s="22">
        <f>IF(COUNTIF(nonprod_types, $D329)&gt;0,0, (($F329-$E329)-$G329)*24)</f>
        <v>0</v>
      </c>
      <c r="J329" s="24">
        <f t="shared" si="19"/>
        <v>0</v>
      </c>
    </row>
    <row r="330" spans="1:10" x14ac:dyDescent="0.25">
      <c r="A330" s="3">
        <v>41967</v>
      </c>
      <c r="B330" s="12" t="str">
        <f t="shared" si="18"/>
        <v>Sun</v>
      </c>
      <c r="C330" s="7">
        <f t="shared" si="17"/>
        <v>47</v>
      </c>
      <c r="H330" s="22">
        <f>IF(AND(WEEKDAY($A330,2)&lt;=5,COUNTIF(timeaway_types, $A330)=0),7.8,0)</f>
        <v>0</v>
      </c>
      <c r="I330" s="22">
        <f>IF(COUNTIF(nonprod_types, $D330)&gt;0,0, (($F330-$E330)-$G330)*24)</f>
        <v>0</v>
      </c>
      <c r="J330" s="24">
        <f t="shared" si="19"/>
        <v>0</v>
      </c>
    </row>
    <row r="331" spans="1:10" x14ac:dyDescent="0.25">
      <c r="A331" s="3">
        <v>41968</v>
      </c>
      <c r="B331" s="12" t="str">
        <f t="shared" si="18"/>
        <v>Mon</v>
      </c>
      <c r="C331" s="7">
        <f t="shared" si="17"/>
        <v>48</v>
      </c>
      <c r="H331" s="22">
        <f>IF(AND(WEEKDAY($A331,2)&lt;=5,COUNTIF(timeaway_types, $A331)=0),7.8,0)</f>
        <v>7.8</v>
      </c>
      <c r="I331" s="22">
        <f>IF(COUNTIF(nonprod_types, $D331)&gt;0,0, (($F331-$E331)-$G331)*24)</f>
        <v>0</v>
      </c>
      <c r="J331" s="24">
        <f t="shared" si="19"/>
        <v>0</v>
      </c>
    </row>
    <row r="332" spans="1:10" x14ac:dyDescent="0.25">
      <c r="A332" s="3">
        <v>41969</v>
      </c>
      <c r="B332" s="12" t="str">
        <f t="shared" si="18"/>
        <v>Tue</v>
      </c>
      <c r="C332" s="7">
        <f t="shared" si="17"/>
        <v>48</v>
      </c>
      <c r="H332" s="22">
        <f>IF(AND(WEEKDAY($A332,2)&lt;=5,COUNTIF(timeaway_types, $A332)=0),7.8,0)</f>
        <v>7.8</v>
      </c>
      <c r="I332" s="22">
        <f>IF(COUNTIF(nonprod_types, $D332)&gt;0,0, (($F332-$E332)-$G332)*24)</f>
        <v>0</v>
      </c>
      <c r="J332" s="24">
        <f t="shared" si="19"/>
        <v>0</v>
      </c>
    </row>
    <row r="333" spans="1:10" x14ac:dyDescent="0.25">
      <c r="A333" s="3">
        <v>41970</v>
      </c>
      <c r="B333" s="12" t="str">
        <f t="shared" ref="B333:B366" si="20">CHOOSE(WEEKDAY($A333,2),"Mon","Tue","Wed","Thu","Fri","Sat","Sun")</f>
        <v>Wed</v>
      </c>
      <c r="C333" s="7">
        <f t="shared" ref="C333:C366" si="21">_xlfn.ISOWEEKNUM($A333)</f>
        <v>48</v>
      </c>
      <c r="H333" s="22">
        <f>IF(AND(WEEKDAY($A333,2)&lt;=5,COUNTIF(timeaway_types, $A333)=0),7.8,0)</f>
        <v>7.8</v>
      </c>
      <c r="I333" s="22">
        <f>IF(COUNTIF(nonprod_types, $D333)&gt;0,0, (($F333-$E333)-$G333)*24)</f>
        <v>0</v>
      </c>
      <c r="J333" s="24">
        <f t="shared" si="19"/>
        <v>0</v>
      </c>
    </row>
    <row r="334" spans="1:10" x14ac:dyDescent="0.25">
      <c r="A334" s="3">
        <v>41971</v>
      </c>
      <c r="B334" s="12" t="str">
        <f t="shared" si="20"/>
        <v>Thu</v>
      </c>
      <c r="C334" s="7">
        <f t="shared" si="21"/>
        <v>48</v>
      </c>
      <c r="H334" s="22">
        <f>IF(AND(WEEKDAY($A334,2)&lt;=5,COUNTIF(timeaway_types, $A334)=0),7.8,0)</f>
        <v>7.8</v>
      </c>
      <c r="I334" s="22">
        <f>IF(COUNTIF(nonprod_types, $D334)&gt;0,0, (($F334-$E334)-$G334)*24)</f>
        <v>0</v>
      </c>
      <c r="J334" s="24">
        <f t="shared" si="19"/>
        <v>0</v>
      </c>
    </row>
    <row r="335" spans="1:10" x14ac:dyDescent="0.25">
      <c r="A335" s="3">
        <v>41972</v>
      </c>
      <c r="B335" s="12" t="str">
        <f t="shared" si="20"/>
        <v>Fri</v>
      </c>
      <c r="C335" s="7">
        <f t="shared" si="21"/>
        <v>48</v>
      </c>
      <c r="H335" s="22">
        <f>IF(AND(WEEKDAY($A335,2)&lt;=5,COUNTIF(timeaway_types, $A335)=0),7.8,0)</f>
        <v>7.8</v>
      </c>
      <c r="I335" s="22">
        <f>IF(COUNTIF(nonprod_types, $D335)&gt;0,0, (($F335-$E335)-$G335)*24)</f>
        <v>0</v>
      </c>
      <c r="J335" s="24">
        <f t="shared" si="19"/>
        <v>0</v>
      </c>
    </row>
    <row r="336" spans="1:10" x14ac:dyDescent="0.25">
      <c r="A336" s="3">
        <v>41973</v>
      </c>
      <c r="B336" s="12" t="str">
        <f t="shared" si="20"/>
        <v>Sat</v>
      </c>
      <c r="C336" s="7">
        <f t="shared" si="21"/>
        <v>48</v>
      </c>
      <c r="H336" s="22">
        <f>IF(AND(WEEKDAY($A336,2)&lt;=5,COUNTIF(timeaway_types, $A336)=0),7.8,0)</f>
        <v>0</v>
      </c>
      <c r="I336" s="22">
        <f>IF(COUNTIF(nonprod_types, $D336)&gt;0,0, (($F336-$E336)-$G336)*24)</f>
        <v>0</v>
      </c>
      <c r="J336" s="24">
        <f t="shared" si="19"/>
        <v>0</v>
      </c>
    </row>
    <row r="337" spans="1:10" x14ac:dyDescent="0.25">
      <c r="A337" s="3">
        <v>41974</v>
      </c>
      <c r="B337" s="12" t="str">
        <f t="shared" si="20"/>
        <v>Sun</v>
      </c>
      <c r="C337" s="7">
        <f t="shared" si="21"/>
        <v>48</v>
      </c>
      <c r="H337" s="22">
        <f>IF(AND(WEEKDAY($A337,2)&lt;=5,COUNTIF(timeaway_types, $A337)=0),7.8,0)</f>
        <v>0</v>
      </c>
      <c r="I337" s="22">
        <f>IF(COUNTIF(nonprod_types, $D337)&gt;0,0, (($F337-$E337)-$G337)*24)</f>
        <v>0</v>
      </c>
      <c r="J337" s="24">
        <f t="shared" si="19"/>
        <v>0</v>
      </c>
    </row>
    <row r="338" spans="1:10" x14ac:dyDescent="0.25">
      <c r="A338" s="3">
        <v>41975</v>
      </c>
      <c r="B338" s="12" t="str">
        <f t="shared" si="20"/>
        <v>Mon</v>
      </c>
      <c r="C338" s="7">
        <f t="shared" si="21"/>
        <v>49</v>
      </c>
      <c r="H338" s="22">
        <f>IF(AND(WEEKDAY($A338,2)&lt;=5,COUNTIF(timeaway_types, $A338)=0),7.8,0)</f>
        <v>7.8</v>
      </c>
      <c r="I338" s="22">
        <f>IF(COUNTIF(nonprod_types, $D338)&gt;0,0, (($F338-$E338)-$G338)*24)</f>
        <v>0</v>
      </c>
      <c r="J338" s="24">
        <f t="shared" si="19"/>
        <v>0</v>
      </c>
    </row>
    <row r="339" spans="1:10" x14ac:dyDescent="0.25">
      <c r="A339" s="3">
        <v>41976</v>
      </c>
      <c r="B339" s="12" t="str">
        <f t="shared" si="20"/>
        <v>Tue</v>
      </c>
      <c r="C339" s="7">
        <f t="shared" si="21"/>
        <v>49</v>
      </c>
      <c r="H339" s="22">
        <f>IF(AND(WEEKDAY($A339,2)&lt;=5,COUNTIF(timeaway_types, $A339)=0),7.8,0)</f>
        <v>7.8</v>
      </c>
      <c r="I339" s="22">
        <f>IF(COUNTIF(nonprod_types, $D339)&gt;0,0, (($F339-$E339)-$G339)*24)</f>
        <v>0</v>
      </c>
      <c r="J339" s="24">
        <f t="shared" si="19"/>
        <v>0</v>
      </c>
    </row>
    <row r="340" spans="1:10" x14ac:dyDescent="0.25">
      <c r="A340" s="3">
        <v>41977</v>
      </c>
      <c r="B340" s="12" t="str">
        <f t="shared" si="20"/>
        <v>Wed</v>
      </c>
      <c r="C340" s="7">
        <f t="shared" si="21"/>
        <v>49</v>
      </c>
      <c r="H340" s="22">
        <f>IF(AND(WEEKDAY($A340,2)&lt;=5,COUNTIF(timeaway_types, $A340)=0),7.8,0)</f>
        <v>7.8</v>
      </c>
      <c r="I340" s="22">
        <f>IF(COUNTIF(nonprod_types, $D340)&gt;0,0, (($F340-$E340)-$G340)*24)</f>
        <v>0</v>
      </c>
      <c r="J340" s="24">
        <f t="shared" si="19"/>
        <v>0</v>
      </c>
    </row>
    <row r="341" spans="1:10" x14ac:dyDescent="0.25">
      <c r="A341" s="3">
        <v>41978</v>
      </c>
      <c r="B341" s="12" t="str">
        <f t="shared" si="20"/>
        <v>Thu</v>
      </c>
      <c r="C341" s="7">
        <f t="shared" si="21"/>
        <v>49</v>
      </c>
      <c r="H341" s="22">
        <f>IF(AND(WEEKDAY($A341,2)&lt;=5,COUNTIF(timeaway_types, $A341)=0),7.8,0)</f>
        <v>7.8</v>
      </c>
      <c r="I341" s="22">
        <f>IF(COUNTIF(nonprod_types, $D341)&gt;0,0, (($F341-$E341)-$G341)*24)</f>
        <v>0</v>
      </c>
      <c r="J341" s="24">
        <f t="shared" si="19"/>
        <v>0</v>
      </c>
    </row>
    <row r="342" spans="1:10" x14ac:dyDescent="0.25">
      <c r="A342" s="3">
        <v>41979</v>
      </c>
      <c r="B342" s="12" t="str">
        <f t="shared" si="20"/>
        <v>Fri</v>
      </c>
      <c r="C342" s="7">
        <f t="shared" si="21"/>
        <v>49</v>
      </c>
      <c r="H342" s="22">
        <f>IF(AND(WEEKDAY($A342,2)&lt;=5,COUNTIF(timeaway_types, $A342)=0),7.8,0)</f>
        <v>7.8</v>
      </c>
      <c r="I342" s="22">
        <f>IF(COUNTIF(nonprod_types, $D342)&gt;0,0, (($F342-$E342)-$G342)*24)</f>
        <v>0</v>
      </c>
      <c r="J342" s="24">
        <f t="shared" si="19"/>
        <v>0</v>
      </c>
    </row>
    <row r="343" spans="1:10" x14ac:dyDescent="0.25">
      <c r="A343" s="3">
        <v>41980</v>
      </c>
      <c r="B343" s="12" t="str">
        <f t="shared" si="20"/>
        <v>Sat</v>
      </c>
      <c r="C343" s="7">
        <f t="shared" si="21"/>
        <v>49</v>
      </c>
      <c r="H343" s="22">
        <f>IF(AND(WEEKDAY($A343,2)&lt;=5,COUNTIF(timeaway_types, $A343)=0),7.8,0)</f>
        <v>0</v>
      </c>
      <c r="I343" s="22">
        <f>IF(COUNTIF(nonprod_types, $D343)&gt;0,0, (($F343-$E343)-$G343)*24)</f>
        <v>0</v>
      </c>
      <c r="J343" s="24">
        <f t="shared" si="19"/>
        <v>0</v>
      </c>
    </row>
    <row r="344" spans="1:10" x14ac:dyDescent="0.25">
      <c r="A344" s="3">
        <v>41981</v>
      </c>
      <c r="B344" s="12" t="str">
        <f t="shared" si="20"/>
        <v>Sun</v>
      </c>
      <c r="C344" s="7">
        <f t="shared" si="21"/>
        <v>49</v>
      </c>
      <c r="H344" s="22">
        <f>IF(AND(WEEKDAY($A344,2)&lt;=5,COUNTIF(timeaway_types, $A344)=0),7.8,0)</f>
        <v>0</v>
      </c>
      <c r="I344" s="22">
        <f>IF(COUNTIF(nonprod_types, $D344)&gt;0,0, (($F344-$E344)-$G344)*24)</f>
        <v>0</v>
      </c>
      <c r="J344" s="24">
        <f t="shared" si="19"/>
        <v>0</v>
      </c>
    </row>
    <row r="345" spans="1:10" x14ac:dyDescent="0.25">
      <c r="A345" s="3">
        <v>41982</v>
      </c>
      <c r="B345" s="12" t="str">
        <f t="shared" si="20"/>
        <v>Mon</v>
      </c>
      <c r="C345" s="7">
        <f t="shared" si="21"/>
        <v>50</v>
      </c>
      <c r="H345" s="22">
        <f>IF(AND(WEEKDAY($A345,2)&lt;=5,COUNTIF(timeaway_types, $A345)=0),7.8,0)</f>
        <v>7.8</v>
      </c>
      <c r="I345" s="22">
        <f>IF(COUNTIF(nonprod_types, $D345)&gt;0,0, (($F345-$E345)-$G345)*24)</f>
        <v>0</v>
      </c>
      <c r="J345" s="24">
        <f t="shared" si="19"/>
        <v>0</v>
      </c>
    </row>
    <row r="346" spans="1:10" x14ac:dyDescent="0.25">
      <c r="A346" s="3">
        <v>41983</v>
      </c>
      <c r="B346" s="12" t="str">
        <f t="shared" si="20"/>
        <v>Tue</v>
      </c>
      <c r="C346" s="7">
        <f t="shared" si="21"/>
        <v>50</v>
      </c>
      <c r="H346" s="22">
        <f>IF(AND(WEEKDAY($A346,2)&lt;=5,COUNTIF(timeaway_types, $A346)=0),7.8,0)</f>
        <v>7.8</v>
      </c>
      <c r="I346" s="22">
        <f>IF(COUNTIF(nonprod_types, $D346)&gt;0,0, (($F346-$E346)-$G346)*24)</f>
        <v>0</v>
      </c>
      <c r="J346" s="24">
        <f t="shared" si="19"/>
        <v>0</v>
      </c>
    </row>
    <row r="347" spans="1:10" x14ac:dyDescent="0.25">
      <c r="A347" s="3">
        <v>41984</v>
      </c>
      <c r="B347" s="12" t="str">
        <f t="shared" si="20"/>
        <v>Wed</v>
      </c>
      <c r="C347" s="7">
        <f t="shared" si="21"/>
        <v>50</v>
      </c>
      <c r="H347" s="22">
        <f>IF(AND(WEEKDAY($A347,2)&lt;=5,COUNTIF(timeaway_types, $A347)=0),7.8,0)</f>
        <v>7.8</v>
      </c>
      <c r="I347" s="22">
        <f>IF(COUNTIF(nonprod_types, $D347)&gt;0,0, (($F347-$E347)-$G347)*24)</f>
        <v>0</v>
      </c>
      <c r="J347" s="24">
        <f t="shared" si="19"/>
        <v>0</v>
      </c>
    </row>
    <row r="348" spans="1:10" x14ac:dyDescent="0.25">
      <c r="A348" s="3">
        <v>41985</v>
      </c>
      <c r="B348" s="12" t="str">
        <f t="shared" si="20"/>
        <v>Thu</v>
      </c>
      <c r="C348" s="7">
        <f t="shared" si="21"/>
        <v>50</v>
      </c>
      <c r="H348" s="22">
        <f>IF(AND(WEEKDAY($A348,2)&lt;=5,COUNTIF(timeaway_types, $A348)=0),7.8,0)</f>
        <v>7.8</v>
      </c>
      <c r="I348" s="22">
        <f>IF(COUNTIF(nonprod_types, $D348)&gt;0,0, (($F348-$E348)-$G348)*24)</f>
        <v>0</v>
      </c>
      <c r="J348" s="24">
        <f t="shared" si="19"/>
        <v>0</v>
      </c>
    </row>
    <row r="349" spans="1:10" x14ac:dyDescent="0.25">
      <c r="A349" s="3">
        <v>41986</v>
      </c>
      <c r="B349" s="12" t="str">
        <f t="shared" si="20"/>
        <v>Fri</v>
      </c>
      <c r="C349" s="7">
        <f t="shared" si="21"/>
        <v>50</v>
      </c>
      <c r="H349" s="22">
        <f>IF(AND(WEEKDAY($A349,2)&lt;=5,COUNTIF(timeaway_types, $A349)=0),7.8,0)</f>
        <v>7.8</v>
      </c>
      <c r="I349" s="22">
        <f>IF(COUNTIF(nonprod_types, $D349)&gt;0,0, (($F349-$E349)-$G349)*24)</f>
        <v>0</v>
      </c>
      <c r="J349" s="24">
        <f t="shared" si="19"/>
        <v>0</v>
      </c>
    </row>
    <row r="350" spans="1:10" x14ac:dyDescent="0.25">
      <c r="A350" s="3">
        <v>41987</v>
      </c>
      <c r="B350" s="12" t="str">
        <f t="shared" si="20"/>
        <v>Sat</v>
      </c>
      <c r="C350" s="7">
        <f t="shared" si="21"/>
        <v>50</v>
      </c>
      <c r="H350" s="22">
        <f>IF(AND(WEEKDAY($A350,2)&lt;=5,COUNTIF(timeaway_types, $A350)=0),7.8,0)</f>
        <v>0</v>
      </c>
      <c r="I350" s="22">
        <f>IF(COUNTIF(nonprod_types, $D350)&gt;0,0, (($F350-$E350)-$G350)*24)</f>
        <v>0</v>
      </c>
      <c r="J350" s="24">
        <f t="shared" si="19"/>
        <v>0</v>
      </c>
    </row>
    <row r="351" spans="1:10" x14ac:dyDescent="0.25">
      <c r="A351" s="3">
        <v>41988</v>
      </c>
      <c r="B351" s="12" t="str">
        <f t="shared" si="20"/>
        <v>Sun</v>
      </c>
      <c r="C351" s="7">
        <f t="shared" si="21"/>
        <v>50</v>
      </c>
      <c r="H351" s="22">
        <f>IF(AND(WEEKDAY($A351,2)&lt;=5,COUNTIF(timeaway_types, $A351)=0),7.8,0)</f>
        <v>0</v>
      </c>
      <c r="I351" s="22">
        <f>IF(COUNTIF(nonprod_types, $D351)&gt;0,0, (($F351-$E351)-$G351)*24)</f>
        <v>0</v>
      </c>
      <c r="J351" s="24">
        <f t="shared" si="19"/>
        <v>0</v>
      </c>
    </row>
    <row r="352" spans="1:10" x14ac:dyDescent="0.25">
      <c r="A352" s="3">
        <v>41989</v>
      </c>
      <c r="B352" s="12" t="str">
        <f t="shared" si="20"/>
        <v>Mon</v>
      </c>
      <c r="C352" s="7">
        <f t="shared" si="21"/>
        <v>51</v>
      </c>
      <c r="H352" s="22">
        <f>IF(AND(WEEKDAY($A352,2)&lt;=5,COUNTIF(timeaway_types, $A352)=0),7.8,0)</f>
        <v>7.8</v>
      </c>
      <c r="I352" s="22">
        <f>IF(COUNTIF(nonprod_types, $D352)&gt;0,0, (($F352-$E352)-$G352)*24)</f>
        <v>0</v>
      </c>
      <c r="J352" s="24">
        <f t="shared" si="19"/>
        <v>0</v>
      </c>
    </row>
    <row r="353" spans="1:10" x14ac:dyDescent="0.25">
      <c r="A353" s="3">
        <v>41990</v>
      </c>
      <c r="B353" s="12" t="str">
        <f t="shared" si="20"/>
        <v>Tue</v>
      </c>
      <c r="C353" s="7">
        <f t="shared" si="21"/>
        <v>51</v>
      </c>
      <c r="H353" s="22">
        <f>IF(AND(WEEKDAY($A353,2)&lt;=5,COUNTIF(timeaway_types, $A353)=0),7.8,0)</f>
        <v>7.8</v>
      </c>
      <c r="I353" s="22">
        <f>IF(COUNTIF(nonprod_types, $D353)&gt;0,0, (($F353-$E353)-$G353)*24)</f>
        <v>0</v>
      </c>
      <c r="J353" s="24">
        <f t="shared" si="19"/>
        <v>0</v>
      </c>
    </row>
    <row r="354" spans="1:10" x14ac:dyDescent="0.25">
      <c r="A354" s="3">
        <v>41991</v>
      </c>
      <c r="B354" s="12" t="str">
        <f t="shared" si="20"/>
        <v>Wed</v>
      </c>
      <c r="C354" s="7">
        <f t="shared" si="21"/>
        <v>51</v>
      </c>
      <c r="H354" s="22">
        <f>IF(AND(WEEKDAY($A354,2)&lt;=5,COUNTIF(timeaway_types, $A354)=0),7.8,0)</f>
        <v>7.8</v>
      </c>
      <c r="I354" s="22">
        <f>IF(COUNTIF(nonprod_types, $D354)&gt;0,0, (($F354-$E354)-$G354)*24)</f>
        <v>0</v>
      </c>
      <c r="J354" s="24">
        <f t="shared" si="19"/>
        <v>0</v>
      </c>
    </row>
    <row r="355" spans="1:10" x14ac:dyDescent="0.25">
      <c r="A355" s="3">
        <v>41992</v>
      </c>
      <c r="B355" s="12" t="str">
        <f t="shared" si="20"/>
        <v>Thu</v>
      </c>
      <c r="C355" s="7">
        <f t="shared" si="21"/>
        <v>51</v>
      </c>
      <c r="H355" s="22">
        <f>IF(AND(WEEKDAY($A355,2)&lt;=5,COUNTIF(timeaway_types, $A355)=0),7.8,0)</f>
        <v>7.8</v>
      </c>
      <c r="I355" s="22">
        <f>IF(COUNTIF(nonprod_types, $D355)&gt;0,0, (($F355-$E355)-$G355)*24)</f>
        <v>0</v>
      </c>
      <c r="J355" s="24">
        <f t="shared" si="19"/>
        <v>0</v>
      </c>
    </row>
    <row r="356" spans="1:10" x14ac:dyDescent="0.25">
      <c r="A356" s="3">
        <v>41993</v>
      </c>
      <c r="B356" s="12" t="str">
        <f t="shared" si="20"/>
        <v>Fri</v>
      </c>
      <c r="C356" s="7">
        <f t="shared" si="21"/>
        <v>51</v>
      </c>
      <c r="H356" s="22">
        <f>IF(AND(WEEKDAY($A356,2)&lt;=5,COUNTIF(timeaway_types, $A356)=0),7.8,0)</f>
        <v>7.8</v>
      </c>
      <c r="I356" s="22">
        <f>IF(COUNTIF(nonprod_types, $D356)&gt;0,0, (($F356-$E356)-$G356)*24)</f>
        <v>0</v>
      </c>
      <c r="J356" s="24">
        <f t="shared" si="19"/>
        <v>0</v>
      </c>
    </row>
    <row r="357" spans="1:10" x14ac:dyDescent="0.25">
      <c r="A357" s="3">
        <v>41994</v>
      </c>
      <c r="B357" s="12" t="str">
        <f t="shared" si="20"/>
        <v>Sat</v>
      </c>
      <c r="C357" s="7">
        <f t="shared" si="21"/>
        <v>51</v>
      </c>
      <c r="H357" s="22">
        <f>IF(AND(WEEKDAY($A357,2)&lt;=5,COUNTIF(timeaway_types, $A357)=0),7.8,0)</f>
        <v>0</v>
      </c>
      <c r="I357" s="22">
        <f>IF(COUNTIF(nonprod_types, $D357)&gt;0,0, (($F357-$E357)-$G357)*24)</f>
        <v>0</v>
      </c>
      <c r="J357" s="24">
        <f t="shared" si="19"/>
        <v>0</v>
      </c>
    </row>
    <row r="358" spans="1:10" x14ac:dyDescent="0.25">
      <c r="A358" s="3">
        <v>41995</v>
      </c>
      <c r="B358" s="12" t="str">
        <f t="shared" si="20"/>
        <v>Sun</v>
      </c>
      <c r="C358" s="7">
        <f t="shared" si="21"/>
        <v>51</v>
      </c>
      <c r="H358" s="22">
        <f>IF(AND(WEEKDAY($A358,2)&lt;=5,COUNTIF(timeaway_types, $A358)=0),7.8,0)</f>
        <v>0</v>
      </c>
      <c r="I358" s="22">
        <f>IF(COUNTIF(nonprod_types, $D358)&gt;0,0, (($F358-$E358)-$G358)*24)</f>
        <v>0</v>
      </c>
      <c r="J358" s="24">
        <f t="shared" si="19"/>
        <v>0</v>
      </c>
    </row>
    <row r="359" spans="1:10" x14ac:dyDescent="0.25">
      <c r="A359" s="3">
        <v>41996</v>
      </c>
      <c r="B359" s="12" t="str">
        <f t="shared" si="20"/>
        <v>Mon</v>
      </c>
      <c r="C359" s="7">
        <f t="shared" si="21"/>
        <v>52</v>
      </c>
      <c r="H359" s="22">
        <f>IF(AND(WEEKDAY($A359,2)&lt;=5,COUNTIF(timeaway_types, $A359)=0),7.8,0)</f>
        <v>7.8</v>
      </c>
      <c r="I359" s="22">
        <f>IF(COUNTIF(nonprod_types, $D359)&gt;0,0, (($F359-$E359)-$G359)*24)</f>
        <v>0</v>
      </c>
      <c r="J359" s="24">
        <f t="shared" si="19"/>
        <v>0</v>
      </c>
    </row>
    <row r="360" spans="1:10" x14ac:dyDescent="0.25">
      <c r="A360" s="3">
        <v>41997</v>
      </c>
      <c r="B360" s="12" t="str">
        <f t="shared" si="20"/>
        <v>Tue</v>
      </c>
      <c r="C360" s="7">
        <f t="shared" si="21"/>
        <v>52</v>
      </c>
      <c r="H360" s="22">
        <f>IF(AND(WEEKDAY($A360,2)&lt;=5,COUNTIF(timeaway_types, $A360)=0),7.8,0)</f>
        <v>7.8</v>
      </c>
      <c r="I360" s="22">
        <f>IF(COUNTIF(nonprod_types, $D360)&gt;0,0, (($F360-$E360)-$G360)*24)</f>
        <v>0</v>
      </c>
      <c r="J360" s="24">
        <f t="shared" si="19"/>
        <v>0</v>
      </c>
    </row>
    <row r="361" spans="1:10" x14ac:dyDescent="0.25">
      <c r="A361" s="3">
        <v>41998</v>
      </c>
      <c r="B361" s="12" t="str">
        <f t="shared" si="20"/>
        <v>Wed</v>
      </c>
      <c r="C361" s="7">
        <f t="shared" si="21"/>
        <v>52</v>
      </c>
      <c r="H361" s="22">
        <f>IF(AND(WEEKDAY($A361,2)&lt;=5,COUNTIF(timeaway_types, $A361)=0),7.8,0)</f>
        <v>7.8</v>
      </c>
      <c r="I361" s="22">
        <f>IF(COUNTIF(nonprod_types, $D361)&gt;0,0, (($F361-$E361)-$G361)*24)</f>
        <v>0</v>
      </c>
      <c r="J361" s="24">
        <f t="shared" si="19"/>
        <v>0</v>
      </c>
    </row>
    <row r="362" spans="1:10" x14ac:dyDescent="0.25">
      <c r="A362" s="3">
        <v>41999</v>
      </c>
      <c r="B362" s="12" t="str">
        <f t="shared" si="20"/>
        <v>Thu</v>
      </c>
      <c r="C362" s="7">
        <f t="shared" si="21"/>
        <v>52</v>
      </c>
      <c r="H362" s="22">
        <f>IF(AND(WEEKDAY($A362,2)&lt;=5,COUNTIF(timeaway_types, $A362)=0),7.8,0)</f>
        <v>7.8</v>
      </c>
      <c r="I362" s="22">
        <f>IF(COUNTIF(nonprod_types, $D362)&gt;0,0, (($F362-$E362)-$G362)*24)</f>
        <v>0</v>
      </c>
      <c r="J362" s="24">
        <f t="shared" si="19"/>
        <v>0</v>
      </c>
    </row>
    <row r="363" spans="1:10" x14ac:dyDescent="0.25">
      <c r="A363" s="3">
        <v>42000</v>
      </c>
      <c r="B363" s="12" t="str">
        <f t="shared" si="20"/>
        <v>Fri</v>
      </c>
      <c r="C363" s="7">
        <f t="shared" si="21"/>
        <v>52</v>
      </c>
      <c r="H363" s="22">
        <f>IF(AND(WEEKDAY($A363,2)&lt;=5,COUNTIF(timeaway_types, $A363)=0),7.8,0)</f>
        <v>7.8</v>
      </c>
      <c r="I363" s="22">
        <f>IF(COUNTIF(nonprod_types, $D363)&gt;0,0, (($F363-$E363)-$G363)*24)</f>
        <v>0</v>
      </c>
      <c r="J363" s="24">
        <f t="shared" si="19"/>
        <v>0</v>
      </c>
    </row>
    <row r="364" spans="1:10" x14ac:dyDescent="0.25">
      <c r="A364" s="3">
        <v>42001</v>
      </c>
      <c r="B364" s="12" t="str">
        <f t="shared" si="20"/>
        <v>Sat</v>
      </c>
      <c r="C364" s="7">
        <f t="shared" si="21"/>
        <v>52</v>
      </c>
      <c r="H364" s="22">
        <f>IF(AND(WEEKDAY($A364,2)&lt;=5,COUNTIF(timeaway_types, $A364)=0),7.8,0)</f>
        <v>0</v>
      </c>
      <c r="I364" s="22">
        <f>IF(COUNTIF(nonprod_types, $D364)&gt;0,0, (($F364-$E364)-$G364)*24)</f>
        <v>0</v>
      </c>
      <c r="J364" s="24">
        <f t="shared" si="19"/>
        <v>0</v>
      </c>
    </row>
    <row r="365" spans="1:10" x14ac:dyDescent="0.25">
      <c r="A365" s="3">
        <v>42002</v>
      </c>
      <c r="B365" s="12" t="str">
        <f t="shared" si="20"/>
        <v>Sun</v>
      </c>
      <c r="C365" s="7">
        <f t="shared" si="21"/>
        <v>52</v>
      </c>
      <c r="H365" s="22">
        <f>IF(AND(WEEKDAY($A365,2)&lt;=5,COUNTIF(timeaway_types, $A365)=0),7.8,0)</f>
        <v>0</v>
      </c>
      <c r="I365" s="22">
        <f>IF(COUNTIF(nonprod_types, $D365)&gt;0,0, (($F365-$E365)-$G365)*24)</f>
        <v>0</v>
      </c>
      <c r="J365" s="24">
        <f t="shared" si="19"/>
        <v>0</v>
      </c>
    </row>
    <row r="366" spans="1:10" x14ac:dyDescent="0.25">
      <c r="A366" s="3">
        <v>42003</v>
      </c>
      <c r="B366" s="12" t="str">
        <f t="shared" si="20"/>
        <v>Mon</v>
      </c>
      <c r="C366" s="7">
        <f t="shared" si="21"/>
        <v>1</v>
      </c>
      <c r="H366" s="22">
        <f>IF(AND(WEEKDAY($A366,2)&lt;=5,COUNTIF(timeaway_types, $A366)=0),7.8,0)</f>
        <v>7.8</v>
      </c>
      <c r="I366" s="22">
        <f>IF(COUNTIF(nonprod_types, $D366)&gt;0,0, (($F366-$E366)-$G366)*24)</f>
        <v>0</v>
      </c>
      <c r="J366" s="24">
        <f t="shared" si="19"/>
        <v>0</v>
      </c>
    </row>
  </sheetData>
  <sheetProtection sheet="1" objects="1" scenarios="1"/>
  <protectedRanges>
    <protectedRange sqref="K2:K366" name="Note"/>
    <protectedRange sqref="D2:G366" name="user_input"/>
  </protectedRanges>
  <conditionalFormatting sqref="E1:G1048576">
    <cfRule type="containsText" dxfId="14" priority="524" operator="containsText" text="Mitfahrer">
      <formula>NOT(ISERROR(SEARCH("Mitfahrer",E1)))</formula>
    </cfRule>
    <cfRule type="containsText" dxfId="13" priority="525" operator="containsText" text="Fahrer">
      <formula>NOT(ISERROR(SEARCH("Fahrer",E1)))</formula>
    </cfRule>
    <cfRule type="containsText" dxfId="12" priority="526" operator="containsText" text="nicht dabei">
      <formula>NOT(ISERROR(SEARCH("nicht dabei",E1)))</formula>
    </cfRule>
  </conditionalFormatting>
  <conditionalFormatting sqref="C1:I1">
    <cfRule type="expression" dxfId="11" priority="6">
      <formula>WEEKDAY(#REF!,2)&gt;5</formula>
    </cfRule>
  </conditionalFormatting>
  <conditionalFormatting sqref="A1:XFD1048576">
    <cfRule type="expression" dxfId="10" priority="3">
      <formula>WEEKDAY($A1,2)&gt;5</formula>
    </cfRule>
  </conditionalFormatting>
  <conditionalFormatting sqref="J2:J366">
    <cfRule type="cellIs" dxfId="9" priority="2" operator="greaterThan">
      <formula>0</formula>
    </cfRule>
    <cfRule type="cellIs" dxfId="8" priority="1" operator="lessThan">
      <formula>0</formula>
    </cfRule>
  </conditionalFormatting>
  <dataValidations count="2">
    <dataValidation type="time" allowBlank="1" showInputMessage="1" showErrorMessage="1" sqref="E2:F1048576" xr:uid="{00000000-0002-0000-0000-000000000000}">
      <formula1>0.25</formula1>
      <formula2>0.833333333333333</formula2>
    </dataValidation>
    <dataValidation type="list" allowBlank="1" showInputMessage="1" showErrorMessage="1" sqref="D2:D366" xr:uid="{00000000-0002-0000-0000-000001000000}">
      <formula1>all_types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Today">
              <controlPr defaultSize="0" print="0" autoFill="0" autoPict="0" macro="[0]!goto_today" altText="Jump to Today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2</xdr:col>
                    <xdr:colOff>304800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tart_work">
                <anchor moveWithCells="1" sizeWithCells="1">
                  <from>
                    <xdr:col>4</xdr:col>
                    <xdr:colOff>104775</xdr:colOff>
                    <xdr:row>0</xdr:row>
                    <xdr:rowOff>76200</xdr:rowOff>
                  </from>
                  <to>
                    <xdr:col>5</xdr:col>
                    <xdr:colOff>333375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end_work" altText="TODAY: End Work">
                <anchor moveWithCells="1" sizeWithCells="1">
                  <from>
                    <xdr:col>5</xdr:col>
                    <xdr:colOff>409575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enter_break">
                <anchor moveWithCells="1" sizeWithCells="1">
                  <from>
                    <xdr:col>7</xdr:col>
                    <xdr:colOff>257175</xdr:colOff>
                    <xdr:row>0</xdr:row>
                    <xdr:rowOff>76200</xdr:rowOff>
                  </from>
                  <to>
                    <xdr:col>7</xdr:col>
                    <xdr:colOff>990600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tart_frm_daytype">
                <anchor moveWithCells="1" sizeWithCells="1">
                  <from>
                    <xdr:col>2</xdr:col>
                    <xdr:colOff>523875</xdr:colOff>
                    <xdr:row>0</xdr:row>
                    <xdr:rowOff>76200</xdr:rowOff>
                  </from>
                  <to>
                    <xdr:col>4</xdr:col>
                    <xdr:colOff>28575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goto_overview_Click" altText="Goto OVERVIEW_x000a_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10</xdr:col>
                    <xdr:colOff>9525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  <pageSetUpPr fitToPage="1"/>
  </sheetPr>
  <dimension ref="A1:C16"/>
  <sheetViews>
    <sheetView workbookViewId="0">
      <selection activeCell="A14" sqref="A14"/>
    </sheetView>
  </sheetViews>
  <sheetFormatPr defaultRowHeight="15" x14ac:dyDescent="0.25"/>
  <cols>
    <col min="1" max="1" width="27.140625" bestFit="1" customWidth="1"/>
    <col min="2" max="2" width="29.85546875" customWidth="1"/>
    <col min="3" max="7" width="12.7109375" customWidth="1"/>
    <col min="8" max="8" width="7.42578125" bestFit="1" customWidth="1"/>
    <col min="9" max="9" width="7.140625" bestFit="1" customWidth="1"/>
    <col min="10" max="11" width="7.7109375" customWidth="1"/>
    <col min="12" max="12" width="19.7109375" bestFit="1" customWidth="1"/>
    <col min="13" max="13" width="9.7109375" bestFit="1" customWidth="1"/>
    <col min="14" max="14" width="33.140625" bestFit="1" customWidth="1"/>
    <col min="15" max="15" width="15.140625" bestFit="1" customWidth="1"/>
  </cols>
  <sheetData>
    <row r="1" spans="1:3" ht="57" customHeight="1" x14ac:dyDescent="0.25"/>
    <row r="3" spans="1:3" x14ac:dyDescent="0.25">
      <c r="A3" s="19" t="s">
        <v>23</v>
      </c>
      <c r="B3" s="11" t="s">
        <v>24</v>
      </c>
      <c r="C3" s="20" t="s">
        <v>25</v>
      </c>
    </row>
    <row r="4" spans="1:3" x14ac:dyDescent="0.25">
      <c r="A4" s="11" t="s">
        <v>26</v>
      </c>
      <c r="B4" s="25">
        <v>0</v>
      </c>
      <c r="C4" s="25">
        <v>0</v>
      </c>
    </row>
    <row r="5" spans="1:3" x14ac:dyDescent="0.25">
      <c r="A5" s="11" t="s">
        <v>27</v>
      </c>
      <c r="B5" s="25">
        <v>0</v>
      </c>
      <c r="C5" s="25">
        <v>0</v>
      </c>
    </row>
    <row r="6" spans="1:3" x14ac:dyDescent="0.25">
      <c r="A6" s="11" t="s">
        <v>34</v>
      </c>
      <c r="B6" s="25">
        <v>0</v>
      </c>
      <c r="C6" s="25">
        <v>0</v>
      </c>
    </row>
    <row r="7" spans="1:3" x14ac:dyDescent="0.25">
      <c r="A7" s="11" t="s">
        <v>28</v>
      </c>
      <c r="B7" s="25">
        <v>0</v>
      </c>
      <c r="C7" s="25">
        <v>0</v>
      </c>
    </row>
    <row r="8" spans="1:3" x14ac:dyDescent="0.25">
      <c r="A8" s="11" t="s">
        <v>35</v>
      </c>
      <c r="B8" s="25">
        <v>0</v>
      </c>
      <c r="C8" s="25">
        <v>0</v>
      </c>
    </row>
    <row r="9" spans="1:3" x14ac:dyDescent="0.25">
      <c r="A9" s="11" t="s">
        <v>29</v>
      </c>
      <c r="B9" s="25">
        <v>0</v>
      </c>
      <c r="C9" s="25">
        <v>0</v>
      </c>
    </row>
    <row r="10" spans="1:3" x14ac:dyDescent="0.25">
      <c r="A10" s="11" t="s">
        <v>30</v>
      </c>
      <c r="B10" s="25">
        <v>0</v>
      </c>
      <c r="C10" s="25">
        <v>0</v>
      </c>
    </row>
    <row r="11" spans="1:3" x14ac:dyDescent="0.25">
      <c r="A11" s="11" t="s">
        <v>31</v>
      </c>
      <c r="B11" s="25">
        <v>0</v>
      </c>
      <c r="C11" s="25">
        <v>0</v>
      </c>
    </row>
    <row r="12" spans="1:3" x14ac:dyDescent="0.25">
      <c r="A12" s="11" t="s">
        <v>32</v>
      </c>
      <c r="B12" s="25">
        <v>0</v>
      </c>
      <c r="C12" s="25">
        <v>0</v>
      </c>
    </row>
    <row r="13" spans="1:3" x14ac:dyDescent="0.25">
      <c r="A13" s="11" t="s">
        <v>36</v>
      </c>
      <c r="B13" s="25">
        <v>0</v>
      </c>
      <c r="C13" s="25">
        <v>0</v>
      </c>
    </row>
    <row r="14" spans="1:3" x14ac:dyDescent="0.25">
      <c r="A14" s="11" t="s">
        <v>33</v>
      </c>
      <c r="B14" s="25">
        <v>0</v>
      </c>
      <c r="C14" s="25">
        <v>0</v>
      </c>
    </row>
    <row r="15" spans="1:3" x14ac:dyDescent="0.25">
      <c r="A15" s="11" t="s">
        <v>37</v>
      </c>
      <c r="B15" s="25">
        <v>0</v>
      </c>
      <c r="C15" s="25">
        <v>0</v>
      </c>
    </row>
    <row r="16" spans="1:3" x14ac:dyDescent="0.25">
      <c r="A16" s="11" t="s">
        <v>22</v>
      </c>
      <c r="B16" s="25">
        <v>0</v>
      </c>
      <c r="C16" s="25">
        <v>0</v>
      </c>
    </row>
  </sheetData>
  <sheetProtection pivotTables="0"/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oto_input_Click" altText="Go To INPUT">
                <anchor moveWithCells="1" sizeWithCells="1">
                  <from>
                    <xdr:col>0</xdr:col>
                    <xdr:colOff>266700</xdr:colOff>
                    <xdr:row>0</xdr:row>
                    <xdr:rowOff>133350</xdr:rowOff>
                  </from>
                  <to>
                    <xdr:col>6</xdr:col>
                    <xdr:colOff>647700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"/>
  <sheetViews>
    <sheetView workbookViewId="0"/>
  </sheetViews>
  <sheetFormatPr defaultColWidth="9.140625" defaultRowHeight="15" x14ac:dyDescent="0.25"/>
  <cols>
    <col min="1" max="1" width="10.5703125" customWidth="1"/>
    <col min="2" max="2" width="20" bestFit="1" customWidth="1"/>
    <col min="3" max="3" width="10.85546875" bestFit="1" customWidth="1"/>
    <col min="6" max="6" width="11.140625" bestFit="1" customWidth="1"/>
  </cols>
  <sheetData>
    <row r="1" spans="1:2" s="1" customFormat="1" x14ac:dyDescent="0.25">
      <c r="A1" s="1" t="s">
        <v>20</v>
      </c>
      <c r="B1" s="1" t="s">
        <v>9</v>
      </c>
    </row>
    <row r="2" spans="1:2" x14ac:dyDescent="0.25">
      <c r="A2" s="9" t="s">
        <v>5</v>
      </c>
      <c r="B2" t="s">
        <v>17</v>
      </c>
    </row>
    <row r="3" spans="1:2" x14ac:dyDescent="0.25">
      <c r="A3" t="s">
        <v>2</v>
      </c>
      <c r="B3" t="s">
        <v>16</v>
      </c>
    </row>
    <row r="4" spans="1:2" x14ac:dyDescent="0.25">
      <c r="A4" t="s">
        <v>6</v>
      </c>
      <c r="B4" t="s">
        <v>21</v>
      </c>
    </row>
    <row r="5" spans="1:2" x14ac:dyDescent="0.25">
      <c r="A5" t="s">
        <v>3</v>
      </c>
      <c r="B5" t="s">
        <v>18</v>
      </c>
    </row>
    <row r="6" spans="1:2" x14ac:dyDescent="0.25">
      <c r="A6" t="s">
        <v>4</v>
      </c>
      <c r="B6" t="s">
        <v>19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Input</vt:lpstr>
      <vt:lpstr>Overview</vt:lpstr>
      <vt:lpstr>Internal</vt:lpstr>
      <vt:lpstr>all_types</vt:lpstr>
      <vt:lpstr>nonprod_types</vt:lpstr>
      <vt:lpstr>timeaway_types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Stepper</dc:creator>
  <cp:lastModifiedBy>Christoph</cp:lastModifiedBy>
  <cp:lastPrinted>2018-09-24T20:47:32Z</cp:lastPrinted>
  <dcterms:created xsi:type="dcterms:W3CDTF">2017-03-01T18:57:58Z</dcterms:created>
  <dcterms:modified xsi:type="dcterms:W3CDTF">2018-11-06T19:31:16Z</dcterms:modified>
</cp:coreProperties>
</file>