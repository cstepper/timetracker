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Documents\_GEOMGI\dailyhelpers\timetracker\excel\"/>
    </mc:Choice>
  </mc:AlternateContent>
  <bookViews>
    <workbookView xWindow="0" yWindow="0" windowWidth="28800" windowHeight="12300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2" i="1" l="1"/>
  <c r="J314" i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<sst xmlns="http://schemas.openxmlformats.org/spreadsheetml/2006/main" count="39" uniqueCount="38">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</sst>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D4D955B-E3F1-4416-AD1F-D0B325CF6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tepper, Christoph (GfK)" refreshedDate="42024.35379872685" createdVersion="6" refreshedVersion="6" minRefreshableVersion="3" recordCount="365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9-01-01T00:00:00" maxDate="2020-01-01T00:00:00" count="365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  <fieldGroup par="11" base="0">
        <rangePr groupBy="days" startDate="2019-01-01T00:00:00" endDate="2020-01-01T00:00:00"/>
        <groupItems count="368">
          <s v="&lt;1/1/2019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1-Jan"/>
          <s v="&gt;1/1/2020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0">
      <sharedItems containsSemiMixedTypes="0" containsDate="1" containsString="0" containsMixedTypes="1" minDate="1904-01-01T00:00:00" maxDate="1904-01-02T00:00:0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9-01-01T00:00:00" endDate="2020-01-01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0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">
  <r>
    <x v="0"/>
    <s v="Tue"/>
    <x v="0"/>
    <x v="0"/>
    <m/>
    <m/>
    <m/>
    <n v="7.8"/>
    <n v="0"/>
    <d v="1904-01-01T00:00:00"/>
    <m/>
  </r>
  <r>
    <x v="1"/>
    <s v="Wed"/>
    <x v="0"/>
    <x v="0"/>
    <m/>
    <m/>
    <m/>
    <n v="7.8"/>
    <n v="0"/>
    <n v="0"/>
    <m/>
  </r>
  <r>
    <x v="2"/>
    <s v="Thu"/>
    <x v="0"/>
    <x v="0"/>
    <m/>
    <m/>
    <m/>
    <n v="7.8"/>
    <n v="0"/>
    <n v="0"/>
    <m/>
  </r>
  <r>
    <x v="3"/>
    <s v="Fri"/>
    <x v="0"/>
    <x v="0"/>
    <m/>
    <m/>
    <m/>
    <n v="7.8"/>
    <n v="0"/>
    <n v="0"/>
    <m/>
  </r>
  <r>
    <x v="4"/>
    <s v="Sat"/>
    <x v="0"/>
    <x v="0"/>
    <m/>
    <m/>
    <m/>
    <n v="0"/>
    <n v="0"/>
    <n v="0"/>
    <m/>
  </r>
  <r>
    <x v="5"/>
    <s v="Sun"/>
    <x v="0"/>
    <x v="0"/>
    <m/>
    <m/>
    <m/>
    <n v="0"/>
    <n v="0"/>
    <n v="0"/>
    <m/>
  </r>
  <r>
    <x v="6"/>
    <s v="Mon"/>
    <x v="1"/>
    <x v="0"/>
    <m/>
    <m/>
    <m/>
    <n v="7.8"/>
    <n v="0"/>
    <n v="0"/>
    <m/>
  </r>
  <r>
    <x v="7"/>
    <s v="Tue"/>
    <x v="1"/>
    <x v="0"/>
    <m/>
    <m/>
    <m/>
    <n v="7.8"/>
    <n v="0"/>
    <n v="0"/>
    <m/>
  </r>
  <r>
    <x v="8"/>
    <s v="Wed"/>
    <x v="1"/>
    <x v="0"/>
    <m/>
    <m/>
    <m/>
    <n v="7.8"/>
    <n v="0"/>
    <n v="0"/>
    <m/>
  </r>
  <r>
    <x v="9"/>
    <s v="Thu"/>
    <x v="1"/>
    <x v="0"/>
    <m/>
    <m/>
    <m/>
    <n v="7.8"/>
    <n v="0"/>
    <n v="0"/>
    <m/>
  </r>
  <r>
    <x v="10"/>
    <s v="Fri"/>
    <x v="1"/>
    <x v="0"/>
    <m/>
    <m/>
    <m/>
    <n v="7.8"/>
    <n v="0"/>
    <n v="0"/>
    <m/>
  </r>
  <r>
    <x v="11"/>
    <s v="Sat"/>
    <x v="1"/>
    <x v="0"/>
    <m/>
    <m/>
    <m/>
    <n v="0"/>
    <n v="0"/>
    <n v="0"/>
    <m/>
  </r>
  <r>
    <x v="12"/>
    <s v="Sun"/>
    <x v="1"/>
    <x v="0"/>
    <m/>
    <m/>
    <m/>
    <n v="0"/>
    <n v="0"/>
    <n v="0"/>
    <m/>
  </r>
  <r>
    <x v="13"/>
    <s v="Mon"/>
    <x v="2"/>
    <x v="0"/>
    <m/>
    <m/>
    <m/>
    <n v="7.8"/>
    <n v="0"/>
    <n v="0"/>
    <m/>
  </r>
  <r>
    <x v="14"/>
    <s v="Tue"/>
    <x v="2"/>
    <x v="0"/>
    <m/>
    <m/>
    <m/>
    <n v="7.8"/>
    <n v="0"/>
    <n v="0"/>
    <m/>
  </r>
  <r>
    <x v="15"/>
    <s v="Wed"/>
    <x v="2"/>
    <x v="0"/>
    <m/>
    <m/>
    <m/>
    <n v="7.8"/>
    <n v="0"/>
    <n v="0"/>
    <m/>
  </r>
  <r>
    <x v="16"/>
    <s v="Thu"/>
    <x v="2"/>
    <x v="0"/>
    <m/>
    <m/>
    <m/>
    <n v="7.8"/>
    <n v="0"/>
    <n v="0"/>
    <m/>
  </r>
  <r>
    <x v="17"/>
    <s v="Fri"/>
    <x v="2"/>
    <x v="0"/>
    <m/>
    <m/>
    <m/>
    <n v="7.8"/>
    <n v="0"/>
    <n v="0"/>
    <m/>
  </r>
  <r>
    <x v="18"/>
    <s v="Sat"/>
    <x v="2"/>
    <x v="0"/>
    <m/>
    <m/>
    <m/>
    <n v="0"/>
    <n v="0"/>
    <n v="0"/>
    <m/>
  </r>
  <r>
    <x v="19"/>
    <s v="Sun"/>
    <x v="2"/>
    <x v="0"/>
    <m/>
    <m/>
    <m/>
    <n v="0"/>
    <n v="0"/>
    <n v="0"/>
    <m/>
  </r>
  <r>
    <x v="20"/>
    <s v="Mon"/>
    <x v="3"/>
    <x v="0"/>
    <m/>
    <m/>
    <m/>
    <n v="7.8"/>
    <n v="0"/>
    <n v="0"/>
    <m/>
  </r>
  <r>
    <x v="21"/>
    <s v="Tue"/>
    <x v="3"/>
    <x v="0"/>
    <m/>
    <m/>
    <m/>
    <n v="7.8"/>
    <n v="0"/>
    <n v="0"/>
    <m/>
  </r>
  <r>
    <x v="22"/>
    <s v="Wed"/>
    <x v="3"/>
    <x v="0"/>
    <m/>
    <m/>
    <m/>
    <n v="7.8"/>
    <n v="0"/>
    <n v="0"/>
    <m/>
  </r>
  <r>
    <x v="23"/>
    <s v="Thu"/>
    <x v="3"/>
    <x v="0"/>
    <m/>
    <m/>
    <m/>
    <n v="7.8"/>
    <n v="0"/>
    <n v="0"/>
    <m/>
  </r>
  <r>
    <x v="24"/>
    <s v="Fri"/>
    <x v="3"/>
    <x v="0"/>
    <m/>
    <m/>
    <m/>
    <n v="7.8"/>
    <n v="0"/>
    <n v="0"/>
    <m/>
  </r>
  <r>
    <x v="25"/>
    <s v="Sat"/>
    <x v="3"/>
    <x v="0"/>
    <m/>
    <m/>
    <m/>
    <n v="0"/>
    <n v="0"/>
    <n v="0"/>
    <m/>
  </r>
  <r>
    <x v="26"/>
    <s v="Sun"/>
    <x v="3"/>
    <x v="0"/>
    <m/>
    <m/>
    <m/>
    <n v="0"/>
    <n v="0"/>
    <n v="0"/>
    <m/>
  </r>
  <r>
    <x v="27"/>
    <s v="Mon"/>
    <x v="4"/>
    <x v="0"/>
    <m/>
    <m/>
    <m/>
    <n v="7.8"/>
    <n v="0"/>
    <n v="0"/>
    <m/>
  </r>
  <r>
    <x v="28"/>
    <s v="Tue"/>
    <x v="4"/>
    <x v="0"/>
    <m/>
    <m/>
    <m/>
    <n v="7.8"/>
    <n v="0"/>
    <n v="0"/>
    <m/>
  </r>
  <r>
    <x v="29"/>
    <s v="Wed"/>
    <x v="4"/>
    <x v="0"/>
    <m/>
    <m/>
    <m/>
    <n v="7.8"/>
    <n v="0"/>
    <n v="0"/>
    <m/>
  </r>
  <r>
    <x v="30"/>
    <s v="Thu"/>
    <x v="4"/>
    <x v="0"/>
    <m/>
    <m/>
    <m/>
    <n v="7.8"/>
    <n v="0"/>
    <n v="0"/>
    <m/>
  </r>
  <r>
    <x v="31"/>
    <s v="Fri"/>
    <x v="4"/>
    <x v="0"/>
    <m/>
    <m/>
    <m/>
    <n v="7.8"/>
    <n v="0"/>
    <n v="0"/>
    <m/>
  </r>
  <r>
    <x v="32"/>
    <s v="Sat"/>
    <x v="4"/>
    <x v="0"/>
    <m/>
    <m/>
    <m/>
    <n v="0"/>
    <n v="0"/>
    <n v="0"/>
    <m/>
  </r>
  <r>
    <x v="33"/>
    <s v="Sun"/>
    <x v="4"/>
    <x v="0"/>
    <m/>
    <m/>
    <m/>
    <n v="0"/>
    <n v="0"/>
    <n v="0"/>
    <m/>
  </r>
  <r>
    <x v="34"/>
    <s v="Mon"/>
    <x v="5"/>
    <x v="0"/>
    <m/>
    <m/>
    <m/>
    <n v="7.8"/>
    <n v="0"/>
    <n v="0"/>
    <m/>
  </r>
  <r>
    <x v="35"/>
    <s v="Tue"/>
    <x v="5"/>
    <x v="0"/>
    <m/>
    <m/>
    <m/>
    <n v="7.8"/>
    <n v="0"/>
    <n v="0"/>
    <m/>
  </r>
  <r>
    <x v="36"/>
    <s v="Wed"/>
    <x v="5"/>
    <x v="0"/>
    <m/>
    <m/>
    <m/>
    <n v="7.8"/>
    <n v="0"/>
    <n v="0"/>
    <m/>
  </r>
  <r>
    <x v="37"/>
    <s v="Thu"/>
    <x v="5"/>
    <x v="0"/>
    <m/>
    <m/>
    <m/>
    <n v="7.8"/>
    <n v="0"/>
    <n v="0"/>
    <m/>
  </r>
  <r>
    <x v="38"/>
    <s v="Fri"/>
    <x v="5"/>
    <x v="0"/>
    <m/>
    <m/>
    <m/>
    <n v="7.8"/>
    <n v="0"/>
    <n v="0"/>
    <m/>
  </r>
  <r>
    <x v="39"/>
    <s v="Sat"/>
    <x v="5"/>
    <x v="0"/>
    <m/>
    <m/>
    <m/>
    <n v="0"/>
    <n v="0"/>
    <n v="0"/>
    <m/>
  </r>
  <r>
    <x v="40"/>
    <s v="Sun"/>
    <x v="5"/>
    <x v="0"/>
    <m/>
    <m/>
    <m/>
    <n v="0"/>
    <n v="0"/>
    <n v="0"/>
    <m/>
  </r>
  <r>
    <x v="41"/>
    <s v="Mon"/>
    <x v="6"/>
    <x v="0"/>
    <m/>
    <m/>
    <m/>
    <n v="7.8"/>
    <n v="0"/>
    <n v="0"/>
    <m/>
  </r>
  <r>
    <x v="42"/>
    <s v="Tue"/>
    <x v="6"/>
    <x v="0"/>
    <m/>
    <m/>
    <m/>
    <n v="7.8"/>
    <n v="0"/>
    <n v="0"/>
    <m/>
  </r>
  <r>
    <x v="43"/>
    <s v="Wed"/>
    <x v="6"/>
    <x v="0"/>
    <m/>
    <m/>
    <m/>
    <n v="7.8"/>
    <n v="0"/>
    <n v="0"/>
    <m/>
  </r>
  <r>
    <x v="44"/>
    <s v="Thu"/>
    <x v="6"/>
    <x v="0"/>
    <m/>
    <m/>
    <m/>
    <n v="7.8"/>
    <n v="0"/>
    <n v="0"/>
    <m/>
  </r>
  <r>
    <x v="45"/>
    <s v="Fri"/>
    <x v="6"/>
    <x v="0"/>
    <m/>
    <m/>
    <m/>
    <n v="7.8"/>
    <n v="0"/>
    <n v="0"/>
    <m/>
  </r>
  <r>
    <x v="46"/>
    <s v="Sat"/>
    <x v="6"/>
    <x v="0"/>
    <m/>
    <m/>
    <m/>
    <n v="0"/>
    <n v="0"/>
    <n v="0"/>
    <m/>
  </r>
  <r>
    <x v="47"/>
    <s v="Sun"/>
    <x v="6"/>
    <x v="0"/>
    <m/>
    <m/>
    <m/>
    <n v="0"/>
    <n v="0"/>
    <n v="0"/>
    <m/>
  </r>
  <r>
    <x v="48"/>
    <s v="Mon"/>
    <x v="7"/>
    <x v="0"/>
    <m/>
    <m/>
    <m/>
    <n v="7.8"/>
    <n v="0"/>
    <n v="0"/>
    <m/>
  </r>
  <r>
    <x v="49"/>
    <s v="Tue"/>
    <x v="7"/>
    <x v="0"/>
    <m/>
    <m/>
    <m/>
    <n v="7.8"/>
    <n v="0"/>
    <n v="0"/>
    <m/>
  </r>
  <r>
    <x v="50"/>
    <s v="Wed"/>
    <x v="7"/>
    <x v="0"/>
    <m/>
    <m/>
    <m/>
    <n v="7.8"/>
    <n v="0"/>
    <n v="0"/>
    <m/>
  </r>
  <r>
    <x v="51"/>
    <s v="Thu"/>
    <x v="7"/>
    <x v="0"/>
    <m/>
    <m/>
    <m/>
    <n v="7.8"/>
    <n v="0"/>
    <n v="0"/>
    <m/>
  </r>
  <r>
    <x v="52"/>
    <s v="Fri"/>
    <x v="7"/>
    <x v="0"/>
    <m/>
    <m/>
    <m/>
    <n v="7.8"/>
    <n v="0"/>
    <n v="0"/>
    <m/>
  </r>
  <r>
    <x v="53"/>
    <s v="Sat"/>
    <x v="7"/>
    <x v="0"/>
    <m/>
    <m/>
    <m/>
    <n v="0"/>
    <n v="0"/>
    <n v="0"/>
    <m/>
  </r>
  <r>
    <x v="54"/>
    <s v="Sun"/>
    <x v="7"/>
    <x v="0"/>
    <m/>
    <m/>
    <m/>
    <n v="0"/>
    <n v="0"/>
    <n v="0"/>
    <m/>
  </r>
  <r>
    <x v="55"/>
    <s v="Mon"/>
    <x v="8"/>
    <x v="0"/>
    <m/>
    <m/>
    <m/>
    <n v="7.8"/>
    <n v="0"/>
    <n v="0"/>
    <m/>
  </r>
  <r>
    <x v="56"/>
    <s v="Tue"/>
    <x v="8"/>
    <x v="0"/>
    <m/>
    <m/>
    <m/>
    <n v="7.8"/>
    <n v="0"/>
    <n v="0"/>
    <m/>
  </r>
  <r>
    <x v="57"/>
    <s v="Wed"/>
    <x v="8"/>
    <x v="0"/>
    <m/>
    <m/>
    <m/>
    <n v="7.8"/>
    <n v="0"/>
    <n v="0"/>
    <m/>
  </r>
  <r>
    <x v="58"/>
    <s v="Thu"/>
    <x v="8"/>
    <x v="0"/>
    <m/>
    <m/>
    <m/>
    <n v="7.8"/>
    <n v="0"/>
    <n v="0"/>
    <m/>
  </r>
  <r>
    <x v="59"/>
    <s v="Fri"/>
    <x v="8"/>
    <x v="0"/>
    <m/>
    <m/>
    <m/>
    <n v="7.8"/>
    <n v="0"/>
    <n v="0"/>
    <m/>
  </r>
  <r>
    <x v="60"/>
    <s v="Sat"/>
    <x v="8"/>
    <x v="0"/>
    <m/>
    <m/>
    <m/>
    <n v="0"/>
    <n v="0"/>
    <n v="0"/>
    <m/>
  </r>
  <r>
    <x v="61"/>
    <s v="Sun"/>
    <x v="8"/>
    <x v="0"/>
    <m/>
    <m/>
    <m/>
    <n v="0"/>
    <n v="0"/>
    <n v="0"/>
    <m/>
  </r>
  <r>
    <x v="62"/>
    <s v="Mon"/>
    <x v="9"/>
    <x v="0"/>
    <m/>
    <m/>
    <m/>
    <n v="7.8"/>
    <n v="0"/>
    <n v="0"/>
    <m/>
  </r>
  <r>
    <x v="63"/>
    <s v="Tue"/>
    <x v="9"/>
    <x v="0"/>
    <m/>
    <m/>
    <m/>
    <n v="7.8"/>
    <n v="0"/>
    <n v="0"/>
    <m/>
  </r>
  <r>
    <x v="64"/>
    <s v="Wed"/>
    <x v="9"/>
    <x v="0"/>
    <m/>
    <m/>
    <m/>
    <n v="7.8"/>
    <n v="0"/>
    <n v="0"/>
    <m/>
  </r>
  <r>
    <x v="65"/>
    <s v="Thu"/>
    <x v="9"/>
    <x v="0"/>
    <m/>
    <m/>
    <m/>
    <n v="7.8"/>
    <n v="0"/>
    <n v="0"/>
    <m/>
  </r>
  <r>
    <x v="66"/>
    <s v="Fri"/>
    <x v="9"/>
    <x v="0"/>
    <m/>
    <m/>
    <m/>
    <n v="7.8"/>
    <n v="0"/>
    <n v="0"/>
    <m/>
  </r>
  <r>
    <x v="67"/>
    <s v="Sat"/>
    <x v="9"/>
    <x v="0"/>
    <m/>
    <m/>
    <m/>
    <n v="0"/>
    <n v="0"/>
    <n v="0"/>
    <m/>
  </r>
  <r>
    <x v="68"/>
    <s v="Sun"/>
    <x v="9"/>
    <x v="0"/>
    <m/>
    <m/>
    <m/>
    <n v="0"/>
    <n v="0"/>
    <n v="0"/>
    <m/>
  </r>
  <r>
    <x v="69"/>
    <s v="Mon"/>
    <x v="10"/>
    <x v="0"/>
    <m/>
    <m/>
    <m/>
    <n v="7.8"/>
    <n v="0"/>
    <n v="0"/>
    <m/>
  </r>
  <r>
    <x v="70"/>
    <s v="Tue"/>
    <x v="10"/>
    <x v="0"/>
    <m/>
    <m/>
    <m/>
    <n v="7.8"/>
    <n v="0"/>
    <n v="0"/>
    <m/>
  </r>
  <r>
    <x v="71"/>
    <s v="Wed"/>
    <x v="10"/>
    <x v="0"/>
    <m/>
    <m/>
    <m/>
    <n v="7.8"/>
    <n v="0"/>
    <n v="0"/>
    <m/>
  </r>
  <r>
    <x v="72"/>
    <s v="Thu"/>
    <x v="10"/>
    <x v="0"/>
    <m/>
    <m/>
    <m/>
    <n v="7.8"/>
    <n v="0"/>
    <n v="0"/>
    <m/>
  </r>
  <r>
    <x v="73"/>
    <s v="Fri"/>
    <x v="10"/>
    <x v="0"/>
    <m/>
    <m/>
    <m/>
    <n v="7.8"/>
    <n v="0"/>
    <n v="0"/>
    <m/>
  </r>
  <r>
    <x v="74"/>
    <s v="Sat"/>
    <x v="10"/>
    <x v="0"/>
    <m/>
    <m/>
    <m/>
    <n v="0"/>
    <n v="0"/>
    <n v="0"/>
    <m/>
  </r>
  <r>
    <x v="75"/>
    <s v="Sun"/>
    <x v="10"/>
    <x v="0"/>
    <m/>
    <m/>
    <m/>
    <n v="0"/>
    <n v="0"/>
    <n v="0"/>
    <m/>
  </r>
  <r>
    <x v="76"/>
    <s v="Mon"/>
    <x v="11"/>
    <x v="0"/>
    <m/>
    <m/>
    <m/>
    <n v="7.8"/>
    <n v="0"/>
    <n v="0"/>
    <m/>
  </r>
  <r>
    <x v="77"/>
    <s v="Tue"/>
    <x v="11"/>
    <x v="0"/>
    <m/>
    <m/>
    <m/>
    <n v="7.8"/>
    <n v="0"/>
    <n v="0"/>
    <m/>
  </r>
  <r>
    <x v="78"/>
    <s v="Wed"/>
    <x v="11"/>
    <x v="0"/>
    <m/>
    <m/>
    <m/>
    <n v="7.8"/>
    <n v="0"/>
    <n v="0"/>
    <m/>
  </r>
  <r>
    <x v="79"/>
    <s v="Thu"/>
    <x v="11"/>
    <x v="0"/>
    <m/>
    <m/>
    <m/>
    <n v="7.8"/>
    <n v="0"/>
    <n v="0"/>
    <m/>
  </r>
  <r>
    <x v="80"/>
    <s v="Fri"/>
    <x v="11"/>
    <x v="0"/>
    <m/>
    <m/>
    <m/>
    <n v="7.8"/>
    <n v="0"/>
    <n v="0"/>
    <m/>
  </r>
  <r>
    <x v="81"/>
    <s v="Sat"/>
    <x v="11"/>
    <x v="0"/>
    <m/>
    <m/>
    <m/>
    <n v="0"/>
    <n v="0"/>
    <n v="0"/>
    <m/>
  </r>
  <r>
    <x v="82"/>
    <s v="Sun"/>
    <x v="11"/>
    <x v="0"/>
    <m/>
    <m/>
    <m/>
    <n v="0"/>
    <n v="0"/>
    <n v="0"/>
    <m/>
  </r>
  <r>
    <x v="83"/>
    <s v="Mon"/>
    <x v="12"/>
    <x v="0"/>
    <m/>
    <m/>
    <m/>
    <n v="7.8"/>
    <n v="0"/>
    <n v="0"/>
    <m/>
  </r>
  <r>
    <x v="84"/>
    <s v="Tue"/>
    <x v="12"/>
    <x v="0"/>
    <m/>
    <m/>
    <m/>
    <n v="7.8"/>
    <n v="0"/>
    <n v="0"/>
    <m/>
  </r>
  <r>
    <x v="85"/>
    <s v="Wed"/>
    <x v="12"/>
    <x v="0"/>
    <m/>
    <m/>
    <m/>
    <n v="7.8"/>
    <n v="0"/>
    <n v="0"/>
    <m/>
  </r>
  <r>
    <x v="86"/>
    <s v="Thu"/>
    <x v="12"/>
    <x v="0"/>
    <m/>
    <m/>
    <m/>
    <n v="7.8"/>
    <n v="0"/>
    <n v="0"/>
    <m/>
  </r>
  <r>
    <x v="87"/>
    <s v="Fri"/>
    <x v="12"/>
    <x v="0"/>
    <m/>
    <m/>
    <m/>
    <n v="7.8"/>
    <n v="0"/>
    <n v="0"/>
    <m/>
  </r>
  <r>
    <x v="88"/>
    <s v="Sat"/>
    <x v="12"/>
    <x v="0"/>
    <m/>
    <m/>
    <m/>
    <n v="0"/>
    <n v="0"/>
    <n v="0"/>
    <m/>
  </r>
  <r>
    <x v="89"/>
    <s v="Sun"/>
    <x v="12"/>
    <x v="0"/>
    <m/>
    <m/>
    <m/>
    <n v="0"/>
    <n v="0"/>
    <n v="0"/>
    <m/>
  </r>
  <r>
    <x v="90"/>
    <s v="Mon"/>
    <x v="13"/>
    <x v="0"/>
    <m/>
    <m/>
    <m/>
    <n v="7.8"/>
    <n v="0"/>
    <n v="0"/>
    <m/>
  </r>
  <r>
    <x v="91"/>
    <s v="Tue"/>
    <x v="13"/>
    <x v="0"/>
    <m/>
    <m/>
    <m/>
    <n v="7.8"/>
    <n v="0"/>
    <n v="0"/>
    <m/>
  </r>
  <r>
    <x v="92"/>
    <s v="Wed"/>
    <x v="13"/>
    <x v="0"/>
    <m/>
    <m/>
    <m/>
    <n v="7.8"/>
    <n v="0"/>
    <n v="0"/>
    <m/>
  </r>
  <r>
    <x v="93"/>
    <s v="Thu"/>
    <x v="13"/>
    <x v="0"/>
    <m/>
    <m/>
    <m/>
    <n v="7.8"/>
    <n v="0"/>
    <n v="0"/>
    <m/>
  </r>
  <r>
    <x v="94"/>
    <s v="Fri"/>
    <x v="13"/>
    <x v="0"/>
    <m/>
    <m/>
    <m/>
    <n v="7.8"/>
    <n v="0"/>
    <n v="0"/>
    <m/>
  </r>
  <r>
    <x v="95"/>
    <s v="Sat"/>
    <x v="13"/>
    <x v="0"/>
    <m/>
    <m/>
    <m/>
    <n v="0"/>
    <n v="0"/>
    <n v="0"/>
    <m/>
  </r>
  <r>
    <x v="96"/>
    <s v="Sun"/>
    <x v="13"/>
    <x v="0"/>
    <m/>
    <m/>
    <m/>
    <n v="0"/>
    <n v="0"/>
    <n v="0"/>
    <m/>
  </r>
  <r>
    <x v="97"/>
    <s v="Mon"/>
    <x v="14"/>
    <x v="0"/>
    <m/>
    <m/>
    <m/>
    <n v="7.8"/>
    <n v="0"/>
    <n v="0"/>
    <m/>
  </r>
  <r>
    <x v="98"/>
    <s v="Tue"/>
    <x v="14"/>
    <x v="0"/>
    <m/>
    <m/>
    <m/>
    <n v="7.8"/>
    <n v="0"/>
    <n v="0"/>
    <m/>
  </r>
  <r>
    <x v="99"/>
    <s v="Wed"/>
    <x v="14"/>
    <x v="0"/>
    <m/>
    <m/>
    <m/>
    <n v="7.8"/>
    <n v="0"/>
    <n v="0"/>
    <m/>
  </r>
  <r>
    <x v="100"/>
    <s v="Thu"/>
    <x v="14"/>
    <x v="0"/>
    <m/>
    <m/>
    <m/>
    <n v="7.8"/>
    <n v="0"/>
    <n v="0"/>
    <m/>
  </r>
  <r>
    <x v="101"/>
    <s v="Fri"/>
    <x v="14"/>
    <x v="0"/>
    <m/>
    <m/>
    <m/>
    <n v="7.8"/>
    <n v="0"/>
    <n v="0"/>
    <m/>
  </r>
  <r>
    <x v="102"/>
    <s v="Sat"/>
    <x v="14"/>
    <x v="0"/>
    <m/>
    <m/>
    <m/>
    <n v="0"/>
    <n v="0"/>
    <n v="0"/>
    <m/>
  </r>
  <r>
    <x v="103"/>
    <s v="Sun"/>
    <x v="14"/>
    <x v="0"/>
    <m/>
    <m/>
    <m/>
    <n v="0"/>
    <n v="0"/>
    <n v="0"/>
    <m/>
  </r>
  <r>
    <x v="104"/>
    <s v="Mon"/>
    <x v="15"/>
    <x v="0"/>
    <m/>
    <m/>
    <m/>
    <n v="7.8"/>
    <n v="0"/>
    <n v="0"/>
    <m/>
  </r>
  <r>
    <x v="105"/>
    <s v="Tue"/>
    <x v="15"/>
    <x v="0"/>
    <m/>
    <m/>
    <m/>
    <n v="7.8"/>
    <n v="0"/>
    <n v="0"/>
    <m/>
  </r>
  <r>
    <x v="106"/>
    <s v="Wed"/>
    <x v="15"/>
    <x v="0"/>
    <m/>
    <m/>
    <m/>
    <n v="7.8"/>
    <n v="0"/>
    <n v="0"/>
    <m/>
  </r>
  <r>
    <x v="107"/>
    <s v="Thu"/>
    <x v="15"/>
    <x v="0"/>
    <m/>
    <m/>
    <m/>
    <n v="7.8"/>
    <n v="0"/>
    <n v="0"/>
    <m/>
  </r>
  <r>
    <x v="108"/>
    <s v="Fri"/>
    <x v="15"/>
    <x v="0"/>
    <m/>
    <m/>
    <m/>
    <n v="7.8"/>
    <n v="0"/>
    <n v="0"/>
    <m/>
  </r>
  <r>
    <x v="109"/>
    <s v="Sat"/>
    <x v="15"/>
    <x v="0"/>
    <m/>
    <m/>
    <m/>
    <n v="0"/>
    <n v="0"/>
    <n v="0"/>
    <m/>
  </r>
  <r>
    <x v="110"/>
    <s v="Sun"/>
    <x v="15"/>
    <x v="0"/>
    <m/>
    <m/>
    <m/>
    <n v="0"/>
    <n v="0"/>
    <n v="0"/>
    <m/>
  </r>
  <r>
    <x v="111"/>
    <s v="Mon"/>
    <x v="16"/>
    <x v="0"/>
    <m/>
    <m/>
    <m/>
    <n v="7.8"/>
    <n v="0"/>
    <n v="0"/>
    <m/>
  </r>
  <r>
    <x v="112"/>
    <s v="Tue"/>
    <x v="16"/>
    <x v="0"/>
    <m/>
    <m/>
    <m/>
    <n v="7.8"/>
    <n v="0"/>
    <n v="0"/>
    <m/>
  </r>
  <r>
    <x v="113"/>
    <s v="Wed"/>
    <x v="16"/>
    <x v="0"/>
    <m/>
    <m/>
    <m/>
    <n v="7.8"/>
    <n v="0"/>
    <n v="0"/>
    <m/>
  </r>
  <r>
    <x v="114"/>
    <s v="Thu"/>
    <x v="16"/>
    <x v="0"/>
    <m/>
    <m/>
    <m/>
    <n v="7.8"/>
    <n v="0"/>
    <n v="0"/>
    <m/>
  </r>
  <r>
    <x v="115"/>
    <s v="Fri"/>
    <x v="16"/>
    <x v="0"/>
    <m/>
    <m/>
    <m/>
    <n v="7.8"/>
    <n v="0"/>
    <n v="0"/>
    <m/>
  </r>
  <r>
    <x v="116"/>
    <s v="Sat"/>
    <x v="16"/>
    <x v="0"/>
    <m/>
    <m/>
    <m/>
    <n v="0"/>
    <n v="0"/>
    <n v="0"/>
    <m/>
  </r>
  <r>
    <x v="117"/>
    <s v="Sun"/>
    <x v="16"/>
    <x v="0"/>
    <m/>
    <m/>
    <m/>
    <n v="0"/>
    <n v="0"/>
    <n v="0"/>
    <m/>
  </r>
  <r>
    <x v="118"/>
    <s v="Mon"/>
    <x v="17"/>
    <x v="0"/>
    <m/>
    <m/>
    <m/>
    <n v="7.8"/>
    <n v="0"/>
    <n v="0"/>
    <m/>
  </r>
  <r>
    <x v="119"/>
    <s v="Tue"/>
    <x v="17"/>
    <x v="0"/>
    <m/>
    <m/>
    <m/>
    <n v="7.8"/>
    <n v="0"/>
    <n v="0"/>
    <m/>
  </r>
  <r>
    <x v="120"/>
    <s v="Wed"/>
    <x v="17"/>
    <x v="0"/>
    <m/>
    <m/>
    <m/>
    <n v="7.8"/>
    <n v="0"/>
    <n v="0"/>
    <m/>
  </r>
  <r>
    <x v="121"/>
    <s v="Thu"/>
    <x v="17"/>
    <x v="0"/>
    <m/>
    <m/>
    <m/>
    <n v="7.8"/>
    <n v="0"/>
    <n v="0"/>
    <m/>
  </r>
  <r>
    <x v="122"/>
    <s v="Fri"/>
    <x v="17"/>
    <x v="0"/>
    <m/>
    <m/>
    <m/>
    <n v="7.8"/>
    <n v="0"/>
    <n v="0"/>
    <m/>
  </r>
  <r>
    <x v="123"/>
    <s v="Sat"/>
    <x v="17"/>
    <x v="0"/>
    <m/>
    <m/>
    <m/>
    <n v="0"/>
    <n v="0"/>
    <n v="0"/>
    <m/>
  </r>
  <r>
    <x v="124"/>
    <s v="Sun"/>
    <x v="17"/>
    <x v="0"/>
    <m/>
    <m/>
    <m/>
    <n v="0"/>
    <n v="0"/>
    <n v="0"/>
    <m/>
  </r>
  <r>
    <x v="125"/>
    <s v="Mon"/>
    <x v="18"/>
    <x v="0"/>
    <m/>
    <m/>
    <m/>
    <n v="7.8"/>
    <n v="0"/>
    <n v="0"/>
    <m/>
  </r>
  <r>
    <x v="126"/>
    <s v="Tue"/>
    <x v="18"/>
    <x v="0"/>
    <m/>
    <m/>
    <m/>
    <n v="7.8"/>
    <n v="0"/>
    <n v="0"/>
    <m/>
  </r>
  <r>
    <x v="127"/>
    <s v="Wed"/>
    <x v="18"/>
    <x v="0"/>
    <m/>
    <m/>
    <m/>
    <n v="7.8"/>
    <n v="0"/>
    <n v="0"/>
    <m/>
  </r>
  <r>
    <x v="128"/>
    <s v="Thu"/>
    <x v="18"/>
    <x v="0"/>
    <m/>
    <m/>
    <m/>
    <n v="7.8"/>
    <n v="0"/>
    <n v="0"/>
    <m/>
  </r>
  <r>
    <x v="129"/>
    <s v="Fri"/>
    <x v="18"/>
    <x v="0"/>
    <m/>
    <m/>
    <m/>
    <n v="7.8"/>
    <n v="0"/>
    <n v="0"/>
    <m/>
  </r>
  <r>
    <x v="130"/>
    <s v="Sat"/>
    <x v="18"/>
    <x v="0"/>
    <m/>
    <m/>
    <m/>
    <n v="0"/>
    <n v="0"/>
    <n v="0"/>
    <m/>
  </r>
  <r>
    <x v="131"/>
    <s v="Sun"/>
    <x v="18"/>
    <x v="0"/>
    <m/>
    <m/>
    <m/>
    <n v="0"/>
    <n v="0"/>
    <n v="0"/>
    <m/>
  </r>
  <r>
    <x v="132"/>
    <s v="Mon"/>
    <x v="19"/>
    <x v="0"/>
    <m/>
    <m/>
    <m/>
    <n v="7.8"/>
    <n v="0"/>
    <n v="0"/>
    <m/>
  </r>
  <r>
    <x v="133"/>
    <s v="Tue"/>
    <x v="19"/>
    <x v="0"/>
    <m/>
    <m/>
    <m/>
    <n v="7.8"/>
    <n v="0"/>
    <n v="0"/>
    <m/>
  </r>
  <r>
    <x v="134"/>
    <s v="Wed"/>
    <x v="19"/>
    <x v="0"/>
    <m/>
    <m/>
    <m/>
    <n v="7.8"/>
    <n v="0"/>
    <n v="0"/>
    <m/>
  </r>
  <r>
    <x v="135"/>
    <s v="Thu"/>
    <x v="19"/>
    <x v="0"/>
    <m/>
    <m/>
    <m/>
    <n v="7.8"/>
    <n v="0"/>
    <n v="0"/>
    <m/>
  </r>
  <r>
    <x v="136"/>
    <s v="Fri"/>
    <x v="19"/>
    <x v="0"/>
    <m/>
    <m/>
    <m/>
    <n v="7.8"/>
    <n v="0"/>
    <n v="0"/>
    <m/>
  </r>
  <r>
    <x v="137"/>
    <s v="Sat"/>
    <x v="19"/>
    <x v="0"/>
    <m/>
    <m/>
    <m/>
    <n v="0"/>
    <n v="0"/>
    <n v="0"/>
    <m/>
  </r>
  <r>
    <x v="138"/>
    <s v="Sun"/>
    <x v="19"/>
    <x v="0"/>
    <m/>
    <m/>
    <m/>
    <n v="0"/>
    <n v="0"/>
    <n v="0"/>
    <m/>
  </r>
  <r>
    <x v="139"/>
    <s v="Mon"/>
    <x v="20"/>
    <x v="0"/>
    <m/>
    <m/>
    <m/>
    <n v="7.8"/>
    <n v="0"/>
    <n v="0"/>
    <m/>
  </r>
  <r>
    <x v="140"/>
    <s v="Tue"/>
    <x v="20"/>
    <x v="0"/>
    <m/>
    <m/>
    <m/>
    <n v="7.8"/>
    <n v="0"/>
    <n v="0"/>
    <m/>
  </r>
  <r>
    <x v="141"/>
    <s v="Wed"/>
    <x v="20"/>
    <x v="0"/>
    <m/>
    <m/>
    <m/>
    <n v="7.8"/>
    <n v="0"/>
    <n v="0"/>
    <m/>
  </r>
  <r>
    <x v="142"/>
    <s v="Thu"/>
    <x v="20"/>
    <x v="0"/>
    <m/>
    <m/>
    <m/>
    <n v="7.8"/>
    <n v="0"/>
    <n v="0"/>
    <m/>
  </r>
  <r>
    <x v="143"/>
    <s v="Fri"/>
    <x v="20"/>
    <x v="0"/>
    <m/>
    <m/>
    <m/>
    <n v="7.8"/>
    <n v="0"/>
    <n v="0"/>
    <m/>
  </r>
  <r>
    <x v="144"/>
    <s v="Sat"/>
    <x v="20"/>
    <x v="0"/>
    <m/>
    <m/>
    <m/>
    <n v="0"/>
    <n v="0"/>
    <n v="0"/>
    <m/>
  </r>
  <r>
    <x v="145"/>
    <s v="Sun"/>
    <x v="20"/>
    <x v="0"/>
    <m/>
    <m/>
    <m/>
    <n v="0"/>
    <n v="0"/>
    <n v="0"/>
    <m/>
  </r>
  <r>
    <x v="146"/>
    <s v="Mon"/>
    <x v="21"/>
    <x v="0"/>
    <m/>
    <m/>
    <m/>
    <n v="7.8"/>
    <n v="0"/>
    <n v="0"/>
    <m/>
  </r>
  <r>
    <x v="147"/>
    <s v="Tue"/>
    <x v="21"/>
    <x v="0"/>
    <m/>
    <m/>
    <m/>
    <n v="7.8"/>
    <n v="0"/>
    <n v="0"/>
    <m/>
  </r>
  <r>
    <x v="148"/>
    <s v="Wed"/>
    <x v="21"/>
    <x v="0"/>
    <m/>
    <m/>
    <m/>
    <n v="7.8"/>
    <n v="0"/>
    <n v="0"/>
    <m/>
  </r>
  <r>
    <x v="149"/>
    <s v="Thu"/>
    <x v="21"/>
    <x v="0"/>
    <m/>
    <m/>
    <m/>
    <n v="7.8"/>
    <n v="0"/>
    <n v="0"/>
    <m/>
  </r>
  <r>
    <x v="150"/>
    <s v="Fri"/>
    <x v="21"/>
    <x v="0"/>
    <m/>
    <m/>
    <m/>
    <n v="7.8"/>
    <n v="0"/>
    <n v="0"/>
    <m/>
  </r>
  <r>
    <x v="151"/>
    <s v="Sat"/>
    <x v="21"/>
    <x v="0"/>
    <m/>
    <m/>
    <m/>
    <n v="0"/>
    <n v="0"/>
    <n v="0"/>
    <m/>
  </r>
  <r>
    <x v="152"/>
    <s v="Sun"/>
    <x v="21"/>
    <x v="0"/>
    <m/>
    <m/>
    <m/>
    <n v="0"/>
    <n v="0"/>
    <n v="0"/>
    <m/>
  </r>
  <r>
    <x v="153"/>
    <s v="Mon"/>
    <x v="22"/>
    <x v="0"/>
    <m/>
    <m/>
    <m/>
    <n v="7.8"/>
    <n v="0"/>
    <n v="0"/>
    <m/>
  </r>
  <r>
    <x v="154"/>
    <s v="Tue"/>
    <x v="22"/>
    <x v="0"/>
    <m/>
    <m/>
    <m/>
    <n v="7.8"/>
    <n v="0"/>
    <n v="0"/>
    <m/>
  </r>
  <r>
    <x v="155"/>
    <s v="Wed"/>
    <x v="22"/>
    <x v="0"/>
    <m/>
    <m/>
    <m/>
    <n v="7.8"/>
    <n v="0"/>
    <n v="0"/>
    <m/>
  </r>
  <r>
    <x v="156"/>
    <s v="Thu"/>
    <x v="22"/>
    <x v="0"/>
    <m/>
    <m/>
    <m/>
    <n v="7.8"/>
    <n v="0"/>
    <n v="0"/>
    <m/>
  </r>
  <r>
    <x v="157"/>
    <s v="Fri"/>
    <x v="22"/>
    <x v="0"/>
    <m/>
    <m/>
    <m/>
    <n v="7.8"/>
    <n v="0"/>
    <n v="0"/>
    <m/>
  </r>
  <r>
    <x v="158"/>
    <s v="Sat"/>
    <x v="22"/>
    <x v="0"/>
    <m/>
    <m/>
    <m/>
    <n v="0"/>
    <n v="0"/>
    <n v="0"/>
    <m/>
  </r>
  <r>
    <x v="159"/>
    <s v="Sun"/>
    <x v="22"/>
    <x v="0"/>
    <m/>
    <m/>
    <m/>
    <n v="0"/>
    <n v="0"/>
    <n v="0"/>
    <m/>
  </r>
  <r>
    <x v="160"/>
    <s v="Mon"/>
    <x v="23"/>
    <x v="0"/>
    <m/>
    <m/>
    <m/>
    <n v="7.8"/>
    <n v="0"/>
    <n v="0"/>
    <m/>
  </r>
  <r>
    <x v="161"/>
    <s v="Tue"/>
    <x v="23"/>
    <x v="0"/>
    <m/>
    <m/>
    <m/>
    <n v="7.8"/>
    <n v="0"/>
    <n v="0"/>
    <m/>
  </r>
  <r>
    <x v="162"/>
    <s v="Wed"/>
    <x v="23"/>
    <x v="0"/>
    <m/>
    <m/>
    <m/>
    <n v="7.8"/>
    <n v="0"/>
    <n v="0"/>
    <m/>
  </r>
  <r>
    <x v="163"/>
    <s v="Thu"/>
    <x v="23"/>
    <x v="0"/>
    <m/>
    <m/>
    <m/>
    <n v="7.8"/>
    <n v="0"/>
    <n v="0"/>
    <m/>
  </r>
  <r>
    <x v="164"/>
    <s v="Fri"/>
    <x v="23"/>
    <x v="0"/>
    <m/>
    <m/>
    <m/>
    <n v="7.8"/>
    <n v="0"/>
    <n v="0"/>
    <m/>
  </r>
  <r>
    <x v="165"/>
    <s v="Sat"/>
    <x v="23"/>
    <x v="0"/>
    <m/>
    <m/>
    <m/>
    <n v="0"/>
    <n v="0"/>
    <n v="0"/>
    <m/>
  </r>
  <r>
    <x v="166"/>
    <s v="Sun"/>
    <x v="23"/>
    <x v="0"/>
    <m/>
    <m/>
    <m/>
    <n v="0"/>
    <n v="0"/>
    <n v="0"/>
    <m/>
  </r>
  <r>
    <x v="167"/>
    <s v="Mon"/>
    <x v="24"/>
    <x v="0"/>
    <m/>
    <m/>
    <m/>
    <n v="7.8"/>
    <n v="0"/>
    <n v="0"/>
    <m/>
  </r>
  <r>
    <x v="168"/>
    <s v="Tue"/>
    <x v="24"/>
    <x v="0"/>
    <m/>
    <m/>
    <m/>
    <n v="7.8"/>
    <n v="0"/>
    <n v="0"/>
    <m/>
  </r>
  <r>
    <x v="169"/>
    <s v="Wed"/>
    <x v="24"/>
    <x v="0"/>
    <m/>
    <m/>
    <m/>
    <n v="7.8"/>
    <n v="0"/>
    <n v="0"/>
    <m/>
  </r>
  <r>
    <x v="170"/>
    <s v="Thu"/>
    <x v="24"/>
    <x v="0"/>
    <m/>
    <m/>
    <m/>
    <n v="7.8"/>
    <n v="0"/>
    <n v="0"/>
    <m/>
  </r>
  <r>
    <x v="171"/>
    <s v="Fri"/>
    <x v="24"/>
    <x v="0"/>
    <m/>
    <m/>
    <m/>
    <n v="7.8"/>
    <n v="0"/>
    <n v="0"/>
    <m/>
  </r>
  <r>
    <x v="172"/>
    <s v="Sat"/>
    <x v="24"/>
    <x v="0"/>
    <m/>
    <m/>
    <m/>
    <n v="0"/>
    <n v="0"/>
    <n v="0"/>
    <m/>
  </r>
  <r>
    <x v="173"/>
    <s v="Sun"/>
    <x v="24"/>
    <x v="0"/>
    <m/>
    <m/>
    <m/>
    <n v="0"/>
    <n v="0"/>
    <n v="0"/>
    <m/>
  </r>
  <r>
    <x v="174"/>
    <s v="Mon"/>
    <x v="25"/>
    <x v="0"/>
    <m/>
    <m/>
    <m/>
    <n v="7.8"/>
    <n v="0"/>
    <n v="0"/>
    <m/>
  </r>
  <r>
    <x v="175"/>
    <s v="Tue"/>
    <x v="25"/>
    <x v="0"/>
    <m/>
    <m/>
    <m/>
    <n v="7.8"/>
    <n v="0"/>
    <n v="0"/>
    <m/>
  </r>
  <r>
    <x v="176"/>
    <s v="Wed"/>
    <x v="25"/>
    <x v="0"/>
    <m/>
    <m/>
    <m/>
    <n v="7.8"/>
    <n v="0"/>
    <n v="0"/>
    <m/>
  </r>
  <r>
    <x v="177"/>
    <s v="Thu"/>
    <x v="25"/>
    <x v="0"/>
    <m/>
    <m/>
    <m/>
    <n v="7.8"/>
    <n v="0"/>
    <n v="0"/>
    <m/>
  </r>
  <r>
    <x v="178"/>
    <s v="Fri"/>
    <x v="25"/>
    <x v="0"/>
    <m/>
    <m/>
    <m/>
    <n v="7.8"/>
    <n v="0"/>
    <n v="0"/>
    <m/>
  </r>
  <r>
    <x v="179"/>
    <s v="Sat"/>
    <x v="25"/>
    <x v="0"/>
    <m/>
    <m/>
    <m/>
    <n v="0"/>
    <n v="0"/>
    <n v="0"/>
    <m/>
  </r>
  <r>
    <x v="180"/>
    <s v="Sun"/>
    <x v="25"/>
    <x v="0"/>
    <m/>
    <m/>
    <m/>
    <n v="0"/>
    <n v="0"/>
    <n v="0"/>
    <m/>
  </r>
  <r>
    <x v="181"/>
    <s v="Mon"/>
    <x v="26"/>
    <x v="0"/>
    <m/>
    <m/>
    <m/>
    <n v="7.8"/>
    <n v="0"/>
    <n v="0"/>
    <m/>
  </r>
  <r>
    <x v="182"/>
    <s v="Tue"/>
    <x v="26"/>
    <x v="0"/>
    <m/>
    <m/>
    <m/>
    <n v="7.8"/>
    <n v="0"/>
    <n v="0"/>
    <m/>
  </r>
  <r>
    <x v="183"/>
    <s v="Wed"/>
    <x v="26"/>
    <x v="0"/>
    <m/>
    <m/>
    <m/>
    <n v="7.8"/>
    <n v="0"/>
    <n v="0"/>
    <m/>
  </r>
  <r>
    <x v="184"/>
    <s v="Thu"/>
    <x v="26"/>
    <x v="0"/>
    <m/>
    <m/>
    <m/>
    <n v="7.8"/>
    <n v="0"/>
    <n v="0"/>
    <m/>
  </r>
  <r>
    <x v="185"/>
    <s v="Fri"/>
    <x v="26"/>
    <x v="0"/>
    <m/>
    <m/>
    <m/>
    <n v="7.8"/>
    <n v="0"/>
    <n v="0"/>
    <m/>
  </r>
  <r>
    <x v="186"/>
    <s v="Sat"/>
    <x v="26"/>
    <x v="0"/>
    <m/>
    <m/>
    <m/>
    <n v="0"/>
    <n v="0"/>
    <n v="0"/>
    <m/>
  </r>
  <r>
    <x v="187"/>
    <s v="Sun"/>
    <x v="26"/>
    <x v="0"/>
    <m/>
    <m/>
    <m/>
    <n v="0"/>
    <n v="0"/>
    <n v="0"/>
    <m/>
  </r>
  <r>
    <x v="188"/>
    <s v="Mon"/>
    <x v="27"/>
    <x v="0"/>
    <m/>
    <m/>
    <m/>
    <n v="7.8"/>
    <n v="0"/>
    <n v="0"/>
    <m/>
  </r>
  <r>
    <x v="189"/>
    <s v="Tue"/>
    <x v="27"/>
    <x v="0"/>
    <m/>
    <m/>
    <m/>
    <n v="7.8"/>
    <n v="0"/>
    <n v="0"/>
    <m/>
  </r>
  <r>
    <x v="190"/>
    <s v="Wed"/>
    <x v="27"/>
    <x v="0"/>
    <m/>
    <m/>
    <m/>
    <n v="7.8"/>
    <n v="0"/>
    <n v="0"/>
    <m/>
  </r>
  <r>
    <x v="191"/>
    <s v="Thu"/>
    <x v="27"/>
    <x v="0"/>
    <m/>
    <m/>
    <m/>
    <n v="7.8"/>
    <n v="0"/>
    <n v="0"/>
    <m/>
  </r>
  <r>
    <x v="192"/>
    <s v="Fri"/>
    <x v="27"/>
    <x v="0"/>
    <m/>
    <m/>
    <m/>
    <n v="7.8"/>
    <n v="0"/>
    <n v="0"/>
    <m/>
  </r>
  <r>
    <x v="193"/>
    <s v="Sat"/>
    <x v="27"/>
    <x v="0"/>
    <m/>
    <m/>
    <m/>
    <n v="0"/>
    <n v="0"/>
    <n v="0"/>
    <m/>
  </r>
  <r>
    <x v="194"/>
    <s v="Sun"/>
    <x v="27"/>
    <x v="0"/>
    <m/>
    <m/>
    <m/>
    <n v="0"/>
    <n v="0"/>
    <n v="0"/>
    <m/>
  </r>
  <r>
    <x v="195"/>
    <s v="Mon"/>
    <x v="28"/>
    <x v="0"/>
    <m/>
    <m/>
    <m/>
    <n v="7.8"/>
    <n v="0"/>
    <n v="0"/>
    <m/>
  </r>
  <r>
    <x v="196"/>
    <s v="Tue"/>
    <x v="28"/>
    <x v="0"/>
    <m/>
    <m/>
    <m/>
    <n v="7.8"/>
    <n v="0"/>
    <n v="0"/>
    <m/>
  </r>
  <r>
    <x v="197"/>
    <s v="Wed"/>
    <x v="28"/>
    <x v="0"/>
    <m/>
    <m/>
    <m/>
    <n v="7.8"/>
    <n v="0"/>
    <n v="0"/>
    <m/>
  </r>
  <r>
    <x v="198"/>
    <s v="Thu"/>
    <x v="28"/>
    <x v="0"/>
    <m/>
    <m/>
    <m/>
    <n v="7.8"/>
    <n v="0"/>
    <n v="0"/>
    <m/>
  </r>
  <r>
    <x v="199"/>
    <s v="Fri"/>
    <x v="28"/>
    <x v="0"/>
    <m/>
    <m/>
    <m/>
    <n v="7.8"/>
    <n v="0"/>
    <n v="0"/>
    <m/>
  </r>
  <r>
    <x v="200"/>
    <s v="Sat"/>
    <x v="28"/>
    <x v="0"/>
    <m/>
    <m/>
    <m/>
    <n v="0"/>
    <n v="0"/>
    <n v="0"/>
    <m/>
  </r>
  <r>
    <x v="201"/>
    <s v="Sun"/>
    <x v="28"/>
    <x v="0"/>
    <m/>
    <m/>
    <m/>
    <n v="0"/>
    <n v="0"/>
    <n v="0"/>
    <m/>
  </r>
  <r>
    <x v="202"/>
    <s v="Mon"/>
    <x v="29"/>
    <x v="0"/>
    <m/>
    <m/>
    <m/>
    <n v="7.8"/>
    <n v="0"/>
    <n v="0"/>
    <m/>
  </r>
  <r>
    <x v="203"/>
    <s v="Tue"/>
    <x v="29"/>
    <x v="0"/>
    <m/>
    <m/>
    <m/>
    <n v="7.8"/>
    <n v="0"/>
    <n v="0"/>
    <m/>
  </r>
  <r>
    <x v="204"/>
    <s v="Wed"/>
    <x v="29"/>
    <x v="0"/>
    <m/>
    <m/>
    <m/>
    <n v="7.8"/>
    <n v="0"/>
    <n v="0"/>
    <m/>
  </r>
  <r>
    <x v="205"/>
    <s v="Thu"/>
    <x v="29"/>
    <x v="0"/>
    <m/>
    <m/>
    <m/>
    <n v="7.8"/>
    <n v="0"/>
    <n v="0"/>
    <m/>
  </r>
  <r>
    <x v="206"/>
    <s v="Fri"/>
    <x v="29"/>
    <x v="0"/>
    <m/>
    <m/>
    <m/>
    <n v="7.8"/>
    <n v="0"/>
    <n v="0"/>
    <m/>
  </r>
  <r>
    <x v="207"/>
    <s v="Sat"/>
    <x v="29"/>
    <x v="0"/>
    <m/>
    <m/>
    <m/>
    <n v="0"/>
    <n v="0"/>
    <n v="0"/>
    <m/>
  </r>
  <r>
    <x v="208"/>
    <s v="Sun"/>
    <x v="29"/>
    <x v="0"/>
    <m/>
    <m/>
    <m/>
    <n v="0"/>
    <n v="0"/>
    <n v="0"/>
    <m/>
  </r>
  <r>
    <x v="209"/>
    <s v="Mon"/>
    <x v="30"/>
    <x v="0"/>
    <m/>
    <m/>
    <m/>
    <n v="7.8"/>
    <n v="0"/>
    <n v="0"/>
    <m/>
  </r>
  <r>
    <x v="210"/>
    <s v="Tue"/>
    <x v="30"/>
    <x v="0"/>
    <m/>
    <m/>
    <m/>
    <n v="7.8"/>
    <n v="0"/>
    <n v="0"/>
    <m/>
  </r>
  <r>
    <x v="211"/>
    <s v="Wed"/>
    <x v="30"/>
    <x v="0"/>
    <m/>
    <m/>
    <m/>
    <n v="7.8"/>
    <n v="0"/>
    <n v="0"/>
    <m/>
  </r>
  <r>
    <x v="212"/>
    <s v="Thu"/>
    <x v="30"/>
    <x v="0"/>
    <m/>
    <m/>
    <m/>
    <n v="7.8"/>
    <n v="0"/>
    <n v="0"/>
    <m/>
  </r>
  <r>
    <x v="213"/>
    <s v="Fri"/>
    <x v="30"/>
    <x v="0"/>
    <m/>
    <m/>
    <m/>
    <n v="7.8"/>
    <n v="0"/>
    <n v="0"/>
    <m/>
  </r>
  <r>
    <x v="214"/>
    <s v="Sat"/>
    <x v="30"/>
    <x v="0"/>
    <m/>
    <m/>
    <m/>
    <n v="0"/>
    <n v="0"/>
    <n v="0"/>
    <m/>
  </r>
  <r>
    <x v="215"/>
    <s v="Sun"/>
    <x v="30"/>
    <x v="0"/>
    <m/>
    <m/>
    <m/>
    <n v="0"/>
    <n v="0"/>
    <n v="0"/>
    <m/>
  </r>
  <r>
    <x v="216"/>
    <s v="Mon"/>
    <x v="31"/>
    <x v="0"/>
    <m/>
    <m/>
    <m/>
    <n v="7.8"/>
    <n v="0"/>
    <n v="0"/>
    <m/>
  </r>
  <r>
    <x v="217"/>
    <s v="Tue"/>
    <x v="31"/>
    <x v="0"/>
    <m/>
    <m/>
    <m/>
    <n v="7.8"/>
    <n v="0"/>
    <n v="0"/>
    <m/>
  </r>
  <r>
    <x v="218"/>
    <s v="Wed"/>
    <x v="31"/>
    <x v="0"/>
    <m/>
    <m/>
    <m/>
    <n v="7.8"/>
    <n v="0"/>
    <n v="0"/>
    <m/>
  </r>
  <r>
    <x v="219"/>
    <s v="Thu"/>
    <x v="31"/>
    <x v="0"/>
    <m/>
    <m/>
    <m/>
    <n v="7.8"/>
    <n v="0"/>
    <n v="0"/>
    <m/>
  </r>
  <r>
    <x v="220"/>
    <s v="Fri"/>
    <x v="31"/>
    <x v="0"/>
    <m/>
    <m/>
    <m/>
    <n v="7.8"/>
    <n v="0"/>
    <n v="0"/>
    <m/>
  </r>
  <r>
    <x v="221"/>
    <s v="Sat"/>
    <x v="31"/>
    <x v="0"/>
    <m/>
    <m/>
    <m/>
    <n v="0"/>
    <n v="0"/>
    <n v="0"/>
    <m/>
  </r>
  <r>
    <x v="222"/>
    <s v="Sun"/>
    <x v="31"/>
    <x v="0"/>
    <m/>
    <m/>
    <m/>
    <n v="0"/>
    <n v="0"/>
    <n v="0"/>
    <m/>
  </r>
  <r>
    <x v="223"/>
    <s v="Mon"/>
    <x v="32"/>
    <x v="0"/>
    <m/>
    <m/>
    <m/>
    <n v="7.8"/>
    <n v="0"/>
    <n v="0"/>
    <m/>
  </r>
  <r>
    <x v="224"/>
    <s v="Tue"/>
    <x v="32"/>
    <x v="0"/>
    <m/>
    <m/>
    <m/>
    <n v="7.8"/>
    <n v="0"/>
    <n v="0"/>
    <m/>
  </r>
  <r>
    <x v="225"/>
    <s v="Wed"/>
    <x v="32"/>
    <x v="0"/>
    <m/>
    <m/>
    <m/>
    <n v="7.8"/>
    <n v="0"/>
    <n v="0"/>
    <m/>
  </r>
  <r>
    <x v="226"/>
    <s v="Thu"/>
    <x v="32"/>
    <x v="0"/>
    <m/>
    <m/>
    <m/>
    <n v="7.8"/>
    <n v="0"/>
    <n v="0"/>
    <m/>
  </r>
  <r>
    <x v="227"/>
    <s v="Fri"/>
    <x v="32"/>
    <x v="0"/>
    <m/>
    <m/>
    <m/>
    <n v="7.8"/>
    <n v="0"/>
    <n v="0"/>
    <m/>
  </r>
  <r>
    <x v="228"/>
    <s v="Sat"/>
    <x v="32"/>
    <x v="0"/>
    <m/>
    <m/>
    <m/>
    <n v="0"/>
    <n v="0"/>
    <n v="0"/>
    <m/>
  </r>
  <r>
    <x v="229"/>
    <s v="Sun"/>
    <x v="32"/>
    <x v="0"/>
    <m/>
    <m/>
    <m/>
    <n v="0"/>
    <n v="0"/>
    <n v="0"/>
    <m/>
  </r>
  <r>
    <x v="230"/>
    <s v="Mon"/>
    <x v="33"/>
    <x v="0"/>
    <m/>
    <m/>
    <m/>
    <n v="7.8"/>
    <n v="0"/>
    <n v="0"/>
    <m/>
  </r>
  <r>
    <x v="231"/>
    <s v="Tue"/>
    <x v="33"/>
    <x v="0"/>
    <m/>
    <m/>
    <m/>
    <n v="7.8"/>
    <n v="0"/>
    <n v="0"/>
    <m/>
  </r>
  <r>
    <x v="232"/>
    <s v="Wed"/>
    <x v="33"/>
    <x v="0"/>
    <m/>
    <m/>
    <m/>
    <n v="7.8"/>
    <n v="0"/>
    <n v="0"/>
    <m/>
  </r>
  <r>
    <x v="233"/>
    <s v="Thu"/>
    <x v="33"/>
    <x v="0"/>
    <m/>
    <m/>
    <m/>
    <n v="7.8"/>
    <n v="0"/>
    <n v="0"/>
    <m/>
  </r>
  <r>
    <x v="234"/>
    <s v="Fri"/>
    <x v="33"/>
    <x v="0"/>
    <m/>
    <m/>
    <m/>
    <n v="7.8"/>
    <n v="0"/>
    <n v="0"/>
    <m/>
  </r>
  <r>
    <x v="235"/>
    <s v="Sat"/>
    <x v="33"/>
    <x v="0"/>
    <m/>
    <m/>
    <m/>
    <n v="0"/>
    <n v="0"/>
    <n v="0"/>
    <m/>
  </r>
  <r>
    <x v="236"/>
    <s v="Sun"/>
    <x v="33"/>
    <x v="0"/>
    <m/>
    <m/>
    <m/>
    <n v="0"/>
    <n v="0"/>
    <n v="0"/>
    <m/>
  </r>
  <r>
    <x v="237"/>
    <s v="Mon"/>
    <x v="34"/>
    <x v="0"/>
    <m/>
    <m/>
    <m/>
    <n v="7.8"/>
    <n v="0"/>
    <n v="0"/>
    <m/>
  </r>
  <r>
    <x v="238"/>
    <s v="Tue"/>
    <x v="34"/>
    <x v="0"/>
    <m/>
    <m/>
    <m/>
    <n v="7.8"/>
    <n v="0"/>
    <n v="0"/>
    <m/>
  </r>
  <r>
    <x v="239"/>
    <s v="Wed"/>
    <x v="34"/>
    <x v="0"/>
    <m/>
    <m/>
    <m/>
    <n v="7.8"/>
    <n v="0"/>
    <n v="0"/>
    <m/>
  </r>
  <r>
    <x v="240"/>
    <s v="Thu"/>
    <x v="34"/>
    <x v="0"/>
    <m/>
    <m/>
    <m/>
    <n v="7.8"/>
    <n v="0"/>
    <n v="0"/>
    <m/>
  </r>
  <r>
    <x v="241"/>
    <s v="Fri"/>
    <x v="34"/>
    <x v="0"/>
    <m/>
    <m/>
    <m/>
    <n v="7.8"/>
    <n v="0"/>
    <n v="0"/>
    <m/>
  </r>
  <r>
    <x v="242"/>
    <s v="Sat"/>
    <x v="34"/>
    <x v="0"/>
    <m/>
    <m/>
    <m/>
    <n v="0"/>
    <n v="0"/>
    <n v="0"/>
    <m/>
  </r>
  <r>
    <x v="243"/>
    <s v="Sun"/>
    <x v="34"/>
    <x v="0"/>
    <m/>
    <m/>
    <m/>
    <n v="0"/>
    <n v="0"/>
    <n v="0"/>
    <m/>
  </r>
  <r>
    <x v="244"/>
    <s v="Mon"/>
    <x v="35"/>
    <x v="0"/>
    <m/>
    <m/>
    <m/>
    <n v="7.8"/>
    <n v="0"/>
    <n v="0"/>
    <m/>
  </r>
  <r>
    <x v="245"/>
    <s v="Tue"/>
    <x v="35"/>
    <x v="0"/>
    <m/>
    <m/>
    <m/>
    <n v="7.8"/>
    <n v="0"/>
    <n v="0"/>
    <m/>
  </r>
  <r>
    <x v="246"/>
    <s v="Wed"/>
    <x v="35"/>
    <x v="0"/>
    <m/>
    <m/>
    <m/>
    <n v="7.8"/>
    <n v="0"/>
    <n v="0"/>
    <m/>
  </r>
  <r>
    <x v="247"/>
    <s v="Thu"/>
    <x v="35"/>
    <x v="0"/>
    <m/>
    <m/>
    <m/>
    <n v="7.8"/>
    <n v="0"/>
    <n v="0"/>
    <m/>
  </r>
  <r>
    <x v="248"/>
    <s v="Fri"/>
    <x v="35"/>
    <x v="0"/>
    <m/>
    <m/>
    <m/>
    <n v="7.8"/>
    <n v="0"/>
    <n v="0"/>
    <m/>
  </r>
  <r>
    <x v="249"/>
    <s v="Sat"/>
    <x v="35"/>
    <x v="0"/>
    <m/>
    <m/>
    <m/>
    <n v="0"/>
    <n v="0"/>
    <n v="0"/>
    <m/>
  </r>
  <r>
    <x v="250"/>
    <s v="Sun"/>
    <x v="35"/>
    <x v="0"/>
    <m/>
    <m/>
    <m/>
    <n v="0"/>
    <n v="0"/>
    <n v="0"/>
    <m/>
  </r>
  <r>
    <x v="251"/>
    <s v="Mon"/>
    <x v="36"/>
    <x v="0"/>
    <m/>
    <m/>
    <m/>
    <n v="7.8"/>
    <n v="0"/>
    <n v="0"/>
    <m/>
  </r>
  <r>
    <x v="252"/>
    <s v="Tue"/>
    <x v="36"/>
    <x v="0"/>
    <m/>
    <m/>
    <m/>
    <n v="7.8"/>
    <n v="0"/>
    <n v="0"/>
    <m/>
  </r>
  <r>
    <x v="253"/>
    <s v="Wed"/>
    <x v="36"/>
    <x v="0"/>
    <m/>
    <m/>
    <m/>
    <n v="7.8"/>
    <n v="0"/>
    <n v="0"/>
    <m/>
  </r>
  <r>
    <x v="254"/>
    <s v="Thu"/>
    <x v="36"/>
    <x v="0"/>
    <m/>
    <m/>
    <m/>
    <n v="7.8"/>
    <n v="0"/>
    <n v="0"/>
    <m/>
  </r>
  <r>
    <x v="255"/>
    <s v="Fri"/>
    <x v="36"/>
    <x v="0"/>
    <m/>
    <m/>
    <m/>
    <n v="7.8"/>
    <n v="0"/>
    <n v="0"/>
    <m/>
  </r>
  <r>
    <x v="256"/>
    <s v="Sat"/>
    <x v="36"/>
    <x v="0"/>
    <m/>
    <m/>
    <m/>
    <n v="0"/>
    <n v="0"/>
    <n v="0"/>
    <m/>
  </r>
  <r>
    <x v="257"/>
    <s v="Sun"/>
    <x v="36"/>
    <x v="0"/>
    <m/>
    <m/>
    <m/>
    <n v="0"/>
    <n v="0"/>
    <n v="0"/>
    <m/>
  </r>
  <r>
    <x v="258"/>
    <s v="Mon"/>
    <x v="37"/>
    <x v="0"/>
    <m/>
    <m/>
    <m/>
    <n v="7.8"/>
    <n v="0"/>
    <n v="0"/>
    <m/>
  </r>
  <r>
    <x v="259"/>
    <s v="Tue"/>
    <x v="37"/>
    <x v="0"/>
    <m/>
    <m/>
    <m/>
    <n v="7.8"/>
    <n v="0"/>
    <n v="0"/>
    <m/>
  </r>
  <r>
    <x v="260"/>
    <s v="Wed"/>
    <x v="37"/>
    <x v="0"/>
    <m/>
    <m/>
    <m/>
    <n v="7.8"/>
    <n v="0"/>
    <n v="0"/>
    <m/>
  </r>
  <r>
    <x v="261"/>
    <s v="Thu"/>
    <x v="37"/>
    <x v="0"/>
    <m/>
    <m/>
    <m/>
    <n v="7.8"/>
    <n v="0"/>
    <n v="0"/>
    <m/>
  </r>
  <r>
    <x v="262"/>
    <s v="Fri"/>
    <x v="37"/>
    <x v="0"/>
    <m/>
    <m/>
    <m/>
    <n v="7.8"/>
    <n v="0"/>
    <n v="0"/>
    <m/>
  </r>
  <r>
    <x v="263"/>
    <s v="Sat"/>
    <x v="37"/>
    <x v="0"/>
    <m/>
    <m/>
    <m/>
    <n v="0"/>
    <n v="0"/>
    <n v="0"/>
    <m/>
  </r>
  <r>
    <x v="264"/>
    <s v="Sun"/>
    <x v="37"/>
    <x v="0"/>
    <m/>
    <m/>
    <m/>
    <n v="0"/>
    <n v="0"/>
    <n v="0"/>
    <m/>
  </r>
  <r>
    <x v="265"/>
    <s v="Mon"/>
    <x v="38"/>
    <x v="0"/>
    <m/>
    <m/>
    <m/>
    <n v="7.8"/>
    <n v="0"/>
    <n v="0"/>
    <m/>
  </r>
  <r>
    <x v="266"/>
    <s v="Tue"/>
    <x v="38"/>
    <x v="0"/>
    <m/>
    <m/>
    <m/>
    <n v="7.8"/>
    <n v="0"/>
    <n v="0"/>
    <m/>
  </r>
  <r>
    <x v="267"/>
    <s v="Wed"/>
    <x v="38"/>
    <x v="0"/>
    <m/>
    <m/>
    <m/>
    <n v="7.8"/>
    <n v="0"/>
    <n v="0"/>
    <m/>
  </r>
  <r>
    <x v="268"/>
    <s v="Thu"/>
    <x v="38"/>
    <x v="0"/>
    <m/>
    <m/>
    <m/>
    <n v="7.8"/>
    <n v="0"/>
    <n v="0"/>
    <m/>
  </r>
  <r>
    <x v="269"/>
    <s v="Fri"/>
    <x v="38"/>
    <x v="0"/>
    <m/>
    <m/>
    <m/>
    <n v="7.8"/>
    <n v="0"/>
    <n v="0"/>
    <m/>
  </r>
  <r>
    <x v="270"/>
    <s v="Sat"/>
    <x v="38"/>
    <x v="0"/>
    <m/>
    <m/>
    <m/>
    <n v="0"/>
    <n v="0"/>
    <n v="0"/>
    <m/>
  </r>
  <r>
    <x v="271"/>
    <s v="Sun"/>
    <x v="38"/>
    <x v="0"/>
    <m/>
    <m/>
    <m/>
    <n v="0"/>
    <n v="0"/>
    <n v="0"/>
    <m/>
  </r>
  <r>
    <x v="272"/>
    <s v="Mon"/>
    <x v="39"/>
    <x v="0"/>
    <m/>
    <m/>
    <m/>
    <n v="7.8"/>
    <n v="0"/>
    <n v="0"/>
    <m/>
  </r>
  <r>
    <x v="273"/>
    <s v="Tue"/>
    <x v="39"/>
    <x v="0"/>
    <m/>
    <m/>
    <m/>
    <n v="7.8"/>
    <n v="0"/>
    <n v="0"/>
    <m/>
  </r>
  <r>
    <x v="274"/>
    <s v="Wed"/>
    <x v="39"/>
    <x v="0"/>
    <m/>
    <m/>
    <m/>
    <n v="7.8"/>
    <n v="0"/>
    <n v="0"/>
    <m/>
  </r>
  <r>
    <x v="275"/>
    <s v="Thu"/>
    <x v="39"/>
    <x v="0"/>
    <m/>
    <m/>
    <m/>
    <n v="7.8"/>
    <n v="0"/>
    <n v="0"/>
    <m/>
  </r>
  <r>
    <x v="276"/>
    <s v="Fri"/>
    <x v="39"/>
    <x v="0"/>
    <m/>
    <m/>
    <m/>
    <n v="7.8"/>
    <n v="0"/>
    <n v="0"/>
    <m/>
  </r>
  <r>
    <x v="277"/>
    <s v="Sat"/>
    <x v="39"/>
    <x v="0"/>
    <m/>
    <m/>
    <m/>
    <n v="0"/>
    <n v="0"/>
    <n v="0"/>
    <m/>
  </r>
  <r>
    <x v="278"/>
    <s v="Sun"/>
    <x v="39"/>
    <x v="0"/>
    <m/>
    <m/>
    <m/>
    <n v="0"/>
    <n v="0"/>
    <n v="0"/>
    <m/>
  </r>
  <r>
    <x v="279"/>
    <s v="Mon"/>
    <x v="40"/>
    <x v="0"/>
    <m/>
    <m/>
    <m/>
    <n v="7.8"/>
    <n v="0"/>
    <n v="0"/>
    <m/>
  </r>
  <r>
    <x v="280"/>
    <s v="Tue"/>
    <x v="40"/>
    <x v="0"/>
    <m/>
    <m/>
    <m/>
    <n v="7.8"/>
    <n v="0"/>
    <n v="0"/>
    <m/>
  </r>
  <r>
    <x v="281"/>
    <s v="Wed"/>
    <x v="40"/>
    <x v="0"/>
    <m/>
    <m/>
    <m/>
    <n v="7.8"/>
    <n v="0"/>
    <n v="0"/>
    <m/>
  </r>
  <r>
    <x v="282"/>
    <s v="Thu"/>
    <x v="40"/>
    <x v="0"/>
    <m/>
    <m/>
    <m/>
    <n v="7.8"/>
    <n v="0"/>
    <n v="0"/>
    <m/>
  </r>
  <r>
    <x v="283"/>
    <s v="Fri"/>
    <x v="40"/>
    <x v="0"/>
    <m/>
    <m/>
    <m/>
    <n v="7.8"/>
    <n v="0"/>
    <n v="0"/>
    <m/>
  </r>
  <r>
    <x v="284"/>
    <s v="Sat"/>
    <x v="40"/>
    <x v="0"/>
    <m/>
    <m/>
    <m/>
    <n v="0"/>
    <n v="0"/>
    <n v="0"/>
    <m/>
  </r>
  <r>
    <x v="285"/>
    <s v="Sun"/>
    <x v="40"/>
    <x v="0"/>
    <m/>
    <m/>
    <m/>
    <n v="0"/>
    <n v="0"/>
    <n v="0"/>
    <m/>
  </r>
  <r>
    <x v="286"/>
    <s v="Mon"/>
    <x v="41"/>
    <x v="0"/>
    <m/>
    <m/>
    <m/>
    <n v="7.8"/>
    <n v="0"/>
    <n v="0"/>
    <m/>
  </r>
  <r>
    <x v="287"/>
    <s v="Tue"/>
    <x v="41"/>
    <x v="0"/>
    <m/>
    <m/>
    <m/>
    <n v="7.8"/>
    <n v="0"/>
    <n v="0"/>
    <m/>
  </r>
  <r>
    <x v="288"/>
    <s v="Wed"/>
    <x v="41"/>
    <x v="0"/>
    <m/>
    <m/>
    <m/>
    <n v="7.8"/>
    <n v="0"/>
    <n v="0"/>
    <m/>
  </r>
  <r>
    <x v="289"/>
    <s v="Thu"/>
    <x v="41"/>
    <x v="0"/>
    <m/>
    <m/>
    <m/>
    <n v="7.8"/>
    <n v="0"/>
    <n v="0"/>
    <m/>
  </r>
  <r>
    <x v="290"/>
    <s v="Fri"/>
    <x v="41"/>
    <x v="0"/>
    <m/>
    <m/>
    <m/>
    <n v="7.8"/>
    <n v="0"/>
    <n v="0"/>
    <m/>
  </r>
  <r>
    <x v="291"/>
    <s v="Sat"/>
    <x v="41"/>
    <x v="0"/>
    <m/>
    <m/>
    <m/>
    <n v="0"/>
    <n v="0"/>
    <n v="0"/>
    <m/>
  </r>
  <r>
    <x v="292"/>
    <s v="Sun"/>
    <x v="41"/>
    <x v="0"/>
    <m/>
    <m/>
    <m/>
    <n v="0"/>
    <n v="0"/>
    <n v="0"/>
    <m/>
  </r>
  <r>
    <x v="293"/>
    <s v="Mon"/>
    <x v="42"/>
    <x v="0"/>
    <m/>
    <m/>
    <m/>
    <n v="7.8"/>
    <n v="0"/>
    <n v="0"/>
    <m/>
  </r>
  <r>
    <x v="294"/>
    <s v="Tue"/>
    <x v="42"/>
    <x v="0"/>
    <m/>
    <m/>
    <m/>
    <n v="7.8"/>
    <n v="0"/>
    <n v="0"/>
    <m/>
  </r>
  <r>
    <x v="295"/>
    <s v="Wed"/>
    <x v="42"/>
    <x v="0"/>
    <m/>
    <m/>
    <m/>
    <n v="7.8"/>
    <n v="0"/>
    <n v="0"/>
    <m/>
  </r>
  <r>
    <x v="296"/>
    <s v="Thu"/>
    <x v="42"/>
    <x v="0"/>
    <m/>
    <m/>
    <m/>
    <n v="7.8"/>
    <n v="0"/>
    <n v="0"/>
    <m/>
  </r>
  <r>
    <x v="297"/>
    <s v="Fri"/>
    <x v="42"/>
    <x v="0"/>
    <m/>
    <m/>
    <m/>
    <n v="7.8"/>
    <n v="0"/>
    <n v="0"/>
    <m/>
  </r>
  <r>
    <x v="298"/>
    <s v="Sat"/>
    <x v="42"/>
    <x v="0"/>
    <m/>
    <m/>
    <m/>
    <n v="0"/>
    <n v="0"/>
    <n v="0"/>
    <m/>
  </r>
  <r>
    <x v="299"/>
    <s v="Sun"/>
    <x v="42"/>
    <x v="0"/>
    <m/>
    <m/>
    <m/>
    <n v="0"/>
    <n v="0"/>
    <n v="0"/>
    <m/>
  </r>
  <r>
    <x v="300"/>
    <s v="Mon"/>
    <x v="43"/>
    <x v="0"/>
    <m/>
    <m/>
    <m/>
    <n v="7.8"/>
    <n v="0"/>
    <n v="0"/>
    <m/>
  </r>
  <r>
    <x v="301"/>
    <s v="Tue"/>
    <x v="43"/>
    <x v="0"/>
    <m/>
    <m/>
    <m/>
    <n v="7.8"/>
    <n v="0"/>
    <n v="0"/>
    <m/>
  </r>
  <r>
    <x v="302"/>
    <s v="Wed"/>
    <x v="43"/>
    <x v="0"/>
    <m/>
    <m/>
    <m/>
    <n v="7.8"/>
    <n v="0"/>
    <n v="0"/>
    <m/>
  </r>
  <r>
    <x v="303"/>
    <s v="Thu"/>
    <x v="43"/>
    <x v="0"/>
    <m/>
    <m/>
    <m/>
    <n v="7.8"/>
    <n v="0"/>
    <n v="0"/>
    <m/>
  </r>
  <r>
    <x v="304"/>
    <s v="Fri"/>
    <x v="43"/>
    <x v="0"/>
    <m/>
    <m/>
    <m/>
    <n v="7.8"/>
    <n v="0"/>
    <n v="0"/>
    <m/>
  </r>
  <r>
    <x v="305"/>
    <s v="Sat"/>
    <x v="43"/>
    <x v="0"/>
    <m/>
    <m/>
    <m/>
    <n v="0"/>
    <n v="0"/>
    <n v="0"/>
    <m/>
  </r>
  <r>
    <x v="306"/>
    <s v="Sun"/>
    <x v="43"/>
    <x v="0"/>
    <m/>
    <m/>
    <m/>
    <n v="0"/>
    <n v="0"/>
    <n v="0"/>
    <m/>
  </r>
  <r>
    <x v="307"/>
    <s v="Mon"/>
    <x v="44"/>
    <x v="0"/>
    <m/>
    <m/>
    <m/>
    <n v="7.8"/>
    <n v="0"/>
    <n v="0"/>
    <m/>
  </r>
  <r>
    <x v="308"/>
    <s v="Tue"/>
    <x v="44"/>
    <x v="0"/>
    <m/>
    <m/>
    <m/>
    <n v="7.8"/>
    <n v="0"/>
    <n v="0"/>
    <m/>
  </r>
  <r>
    <x v="309"/>
    <s v="Wed"/>
    <x v="44"/>
    <x v="0"/>
    <m/>
    <m/>
    <m/>
    <n v="7.8"/>
    <n v="0"/>
    <n v="0"/>
    <m/>
  </r>
  <r>
    <x v="310"/>
    <s v="Thu"/>
    <x v="44"/>
    <x v="0"/>
    <m/>
    <m/>
    <m/>
    <n v="7.8"/>
    <n v="0"/>
    <n v="0"/>
    <m/>
  </r>
  <r>
    <x v="311"/>
    <s v="Fri"/>
    <x v="44"/>
    <x v="0"/>
    <m/>
    <m/>
    <m/>
    <n v="7.8"/>
    <n v="0"/>
    <n v="0"/>
    <m/>
  </r>
  <r>
    <x v="312"/>
    <s v="Sat"/>
    <x v="44"/>
    <x v="0"/>
    <m/>
    <m/>
    <m/>
    <n v="0"/>
    <n v="0"/>
    <n v="0"/>
    <m/>
  </r>
  <r>
    <x v="313"/>
    <s v="Sun"/>
    <x v="44"/>
    <x v="0"/>
    <m/>
    <m/>
    <m/>
    <n v="0"/>
    <n v="0"/>
    <n v="0"/>
    <m/>
  </r>
  <r>
    <x v="314"/>
    <s v="Mon"/>
    <x v="45"/>
    <x v="0"/>
    <m/>
    <m/>
    <m/>
    <n v="7.8"/>
    <n v="0"/>
    <n v="0"/>
    <m/>
  </r>
  <r>
    <x v="315"/>
    <s v="Tue"/>
    <x v="45"/>
    <x v="0"/>
    <m/>
    <m/>
    <m/>
    <n v="7.8"/>
    <n v="0"/>
    <n v="0"/>
    <m/>
  </r>
  <r>
    <x v="316"/>
    <s v="Wed"/>
    <x v="45"/>
    <x v="0"/>
    <m/>
    <m/>
    <m/>
    <n v="7.8"/>
    <n v="0"/>
    <n v="0"/>
    <m/>
  </r>
  <r>
    <x v="317"/>
    <s v="Thu"/>
    <x v="45"/>
    <x v="0"/>
    <m/>
    <m/>
    <m/>
    <n v="7.8"/>
    <n v="0"/>
    <n v="0"/>
    <m/>
  </r>
  <r>
    <x v="318"/>
    <s v="Fri"/>
    <x v="45"/>
    <x v="0"/>
    <m/>
    <m/>
    <m/>
    <n v="7.8"/>
    <n v="0"/>
    <n v="0"/>
    <m/>
  </r>
  <r>
    <x v="319"/>
    <s v="Sat"/>
    <x v="45"/>
    <x v="0"/>
    <m/>
    <m/>
    <m/>
    <n v="0"/>
    <n v="0"/>
    <n v="0"/>
    <m/>
  </r>
  <r>
    <x v="320"/>
    <s v="Sun"/>
    <x v="45"/>
    <x v="0"/>
    <m/>
    <m/>
    <m/>
    <n v="0"/>
    <n v="0"/>
    <n v="0"/>
    <m/>
  </r>
  <r>
    <x v="321"/>
    <s v="Mon"/>
    <x v="46"/>
    <x v="0"/>
    <m/>
    <m/>
    <m/>
    <n v="7.8"/>
    <n v="0"/>
    <n v="0"/>
    <m/>
  </r>
  <r>
    <x v="322"/>
    <s v="Tue"/>
    <x v="46"/>
    <x v="0"/>
    <m/>
    <m/>
    <m/>
    <n v="7.8"/>
    <n v="0"/>
    <n v="0"/>
    <m/>
  </r>
  <r>
    <x v="323"/>
    <s v="Wed"/>
    <x v="46"/>
    <x v="0"/>
    <m/>
    <m/>
    <m/>
    <n v="7.8"/>
    <n v="0"/>
    <n v="0"/>
    <m/>
  </r>
  <r>
    <x v="324"/>
    <s v="Thu"/>
    <x v="46"/>
    <x v="0"/>
    <m/>
    <m/>
    <m/>
    <n v="7.8"/>
    <n v="0"/>
    <n v="0"/>
    <m/>
  </r>
  <r>
    <x v="325"/>
    <s v="Fri"/>
    <x v="46"/>
    <x v="0"/>
    <m/>
    <m/>
    <m/>
    <n v="7.8"/>
    <n v="0"/>
    <n v="0"/>
    <m/>
  </r>
  <r>
    <x v="326"/>
    <s v="Sat"/>
    <x v="46"/>
    <x v="0"/>
    <m/>
    <m/>
    <m/>
    <n v="0"/>
    <n v="0"/>
    <n v="0"/>
    <m/>
  </r>
  <r>
    <x v="327"/>
    <s v="Sun"/>
    <x v="46"/>
    <x v="0"/>
    <m/>
    <m/>
    <m/>
    <n v="0"/>
    <n v="0"/>
    <n v="0"/>
    <m/>
  </r>
  <r>
    <x v="328"/>
    <s v="Mon"/>
    <x v="47"/>
    <x v="0"/>
    <m/>
    <m/>
    <m/>
    <n v="7.8"/>
    <n v="0"/>
    <n v="0"/>
    <m/>
  </r>
  <r>
    <x v="329"/>
    <s v="Tue"/>
    <x v="47"/>
    <x v="0"/>
    <m/>
    <m/>
    <m/>
    <n v="7.8"/>
    <n v="0"/>
    <n v="0"/>
    <m/>
  </r>
  <r>
    <x v="330"/>
    <s v="Wed"/>
    <x v="47"/>
    <x v="0"/>
    <m/>
    <m/>
    <m/>
    <n v="7.8"/>
    <n v="0"/>
    <n v="0"/>
    <m/>
  </r>
  <r>
    <x v="331"/>
    <s v="Thu"/>
    <x v="47"/>
    <x v="0"/>
    <m/>
    <m/>
    <m/>
    <n v="7.8"/>
    <n v="0"/>
    <n v="0"/>
    <m/>
  </r>
  <r>
    <x v="332"/>
    <s v="Fri"/>
    <x v="47"/>
    <x v="0"/>
    <m/>
    <m/>
    <m/>
    <n v="7.8"/>
    <n v="0"/>
    <n v="0"/>
    <m/>
  </r>
  <r>
    <x v="333"/>
    <s v="Sat"/>
    <x v="47"/>
    <x v="0"/>
    <m/>
    <m/>
    <m/>
    <n v="0"/>
    <n v="0"/>
    <n v="0"/>
    <m/>
  </r>
  <r>
    <x v="334"/>
    <s v="Sun"/>
    <x v="47"/>
    <x v="0"/>
    <m/>
    <m/>
    <m/>
    <n v="0"/>
    <n v="0"/>
    <n v="0"/>
    <m/>
  </r>
  <r>
    <x v="335"/>
    <s v="Mon"/>
    <x v="48"/>
    <x v="0"/>
    <m/>
    <m/>
    <m/>
    <n v="7.8"/>
    <n v="0"/>
    <n v="0"/>
    <m/>
  </r>
  <r>
    <x v="336"/>
    <s v="Tue"/>
    <x v="48"/>
    <x v="0"/>
    <m/>
    <m/>
    <m/>
    <n v="7.8"/>
    <n v="0"/>
    <n v="0"/>
    <m/>
  </r>
  <r>
    <x v="337"/>
    <s v="Wed"/>
    <x v="48"/>
    <x v="0"/>
    <m/>
    <m/>
    <m/>
    <n v="7.8"/>
    <n v="0"/>
    <n v="0"/>
    <m/>
  </r>
  <r>
    <x v="338"/>
    <s v="Thu"/>
    <x v="48"/>
    <x v="0"/>
    <m/>
    <m/>
    <m/>
    <n v="7.8"/>
    <n v="0"/>
    <n v="0"/>
    <m/>
  </r>
  <r>
    <x v="339"/>
    <s v="Fri"/>
    <x v="48"/>
    <x v="0"/>
    <m/>
    <m/>
    <m/>
    <n v="7.8"/>
    <n v="0"/>
    <n v="0"/>
    <m/>
  </r>
  <r>
    <x v="340"/>
    <s v="Sat"/>
    <x v="48"/>
    <x v="0"/>
    <m/>
    <m/>
    <m/>
    <n v="0"/>
    <n v="0"/>
    <n v="0"/>
    <m/>
  </r>
  <r>
    <x v="341"/>
    <s v="Sun"/>
    <x v="48"/>
    <x v="0"/>
    <m/>
    <m/>
    <m/>
    <n v="0"/>
    <n v="0"/>
    <n v="0"/>
    <m/>
  </r>
  <r>
    <x v="342"/>
    <s v="Mon"/>
    <x v="49"/>
    <x v="0"/>
    <m/>
    <m/>
    <m/>
    <n v="7.8"/>
    <n v="0"/>
    <n v="0"/>
    <m/>
  </r>
  <r>
    <x v="343"/>
    <s v="Tue"/>
    <x v="49"/>
    <x v="0"/>
    <m/>
    <m/>
    <m/>
    <n v="7.8"/>
    <n v="0"/>
    <n v="0"/>
    <m/>
  </r>
  <r>
    <x v="344"/>
    <s v="Wed"/>
    <x v="49"/>
    <x v="0"/>
    <m/>
    <m/>
    <m/>
    <n v="7.8"/>
    <n v="0"/>
    <n v="0"/>
    <m/>
  </r>
  <r>
    <x v="345"/>
    <s v="Thu"/>
    <x v="49"/>
    <x v="0"/>
    <m/>
    <m/>
    <m/>
    <n v="7.8"/>
    <n v="0"/>
    <n v="0"/>
    <m/>
  </r>
  <r>
    <x v="346"/>
    <s v="Fri"/>
    <x v="49"/>
    <x v="0"/>
    <m/>
    <m/>
    <m/>
    <n v="7.8"/>
    <n v="0"/>
    <n v="0"/>
    <m/>
  </r>
  <r>
    <x v="347"/>
    <s v="Sat"/>
    <x v="49"/>
    <x v="0"/>
    <m/>
    <m/>
    <m/>
    <n v="0"/>
    <n v="0"/>
    <n v="0"/>
    <m/>
  </r>
  <r>
    <x v="348"/>
    <s v="Sun"/>
    <x v="49"/>
    <x v="0"/>
    <m/>
    <m/>
    <m/>
    <n v="0"/>
    <n v="0"/>
    <n v="0"/>
    <m/>
  </r>
  <r>
    <x v="349"/>
    <s v="Mon"/>
    <x v="50"/>
    <x v="0"/>
    <m/>
    <m/>
    <m/>
    <n v="7.8"/>
    <n v="0"/>
    <n v="0"/>
    <m/>
  </r>
  <r>
    <x v="350"/>
    <s v="Tue"/>
    <x v="50"/>
    <x v="0"/>
    <m/>
    <m/>
    <m/>
    <n v="7.8"/>
    <n v="0"/>
    <n v="0"/>
    <m/>
  </r>
  <r>
    <x v="351"/>
    <s v="Wed"/>
    <x v="50"/>
    <x v="0"/>
    <m/>
    <m/>
    <m/>
    <n v="7.8"/>
    <n v="0"/>
    <n v="0"/>
    <m/>
  </r>
  <r>
    <x v="352"/>
    <s v="Thu"/>
    <x v="50"/>
    <x v="0"/>
    <m/>
    <m/>
    <m/>
    <n v="7.8"/>
    <n v="0"/>
    <n v="0"/>
    <m/>
  </r>
  <r>
    <x v="353"/>
    <s v="Fri"/>
    <x v="50"/>
    <x v="0"/>
    <m/>
    <m/>
    <m/>
    <n v="7.8"/>
    <n v="0"/>
    <n v="0"/>
    <m/>
  </r>
  <r>
    <x v="354"/>
    <s v="Sat"/>
    <x v="50"/>
    <x v="0"/>
    <m/>
    <m/>
    <m/>
    <n v="0"/>
    <n v="0"/>
    <n v="0"/>
    <m/>
  </r>
  <r>
    <x v="355"/>
    <s v="Sun"/>
    <x v="50"/>
    <x v="0"/>
    <m/>
    <m/>
    <m/>
    <n v="0"/>
    <n v="0"/>
    <n v="0"/>
    <m/>
  </r>
  <r>
    <x v="356"/>
    <s v="Mon"/>
    <x v="51"/>
    <x v="0"/>
    <m/>
    <m/>
    <m/>
    <n v="7.8"/>
    <n v="0"/>
    <n v="0"/>
    <m/>
  </r>
  <r>
    <x v="357"/>
    <s v="Tue"/>
    <x v="51"/>
    <x v="0"/>
    <m/>
    <m/>
    <m/>
    <n v="7.8"/>
    <n v="0"/>
    <n v="0"/>
    <m/>
  </r>
  <r>
    <x v="358"/>
    <s v="Wed"/>
    <x v="51"/>
    <x v="0"/>
    <m/>
    <m/>
    <m/>
    <n v="7.8"/>
    <n v="0"/>
    <n v="0"/>
    <m/>
  </r>
  <r>
    <x v="359"/>
    <s v="Thu"/>
    <x v="51"/>
    <x v="0"/>
    <m/>
    <m/>
    <m/>
    <n v="7.8"/>
    <n v="0"/>
    <n v="0"/>
    <m/>
  </r>
  <r>
    <x v="360"/>
    <s v="Fri"/>
    <x v="51"/>
    <x v="0"/>
    <m/>
    <m/>
    <m/>
    <n v="7.8"/>
    <n v="0"/>
    <n v="0"/>
    <m/>
  </r>
  <r>
    <x v="361"/>
    <s v="Sat"/>
    <x v="51"/>
    <x v="0"/>
    <m/>
    <m/>
    <m/>
    <n v="0"/>
    <n v="0"/>
    <n v="0"/>
    <m/>
  </r>
  <r>
    <x v="362"/>
    <s v="Sun"/>
    <x v="51"/>
    <x v="0"/>
    <m/>
    <m/>
    <m/>
    <n v="0"/>
    <n v="0"/>
    <n v="0"/>
    <m/>
  </r>
  <r>
    <x v="363"/>
    <s v="Mon"/>
    <x v="0"/>
    <x v="0"/>
    <m/>
    <m/>
    <m/>
    <n v="7.8"/>
    <n v="0"/>
    <n v="0"/>
    <m/>
  </r>
  <r>
    <x v="364"/>
    <s v="Tue"/>
    <x v="0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3"/>
        <item m="1" x="1"/>
        <item m="1" x="5"/>
        <item m="1"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3">
      <pivotArea field="-2" type="button" dataOnly="0" labelOnly="1" outline="0" axis="axisCol" fieldPosition="0"/>
    </format>
    <format dxfId="2">
      <pivotArea field="11" type="button" dataOnly="0" labelOnly="1" outline="0" axis="axisRow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M366"/>
  <sheetViews>
    <sheetView tabSelected="1" workbookViewId="0">
      <pane ySplit="1" topLeftCell="A2" activePane="bottomLeft" state="frozen"/>
      <selection pane="bottomLeft" activeCell="A22" sqref="A22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42004</v>
      </c>
      <c r="B2" s="12" t="str">
        <f t="shared" ref="B2:B65" si="0">CHOOSE(WEEKDAY($A2,2),"Mon","Tue","Wed","Thu","Fri","Sat","Sun")</f>
        <v>Tue</v>
      </c>
      <c r="C2" s="7">
        <f t="shared" ref="C2:C65" si="1">_xlfn.ISOWEEKNUM($A2)</f>
        <v>1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25">
        <f t="shared" ref="J2:J66" si="4">IF(D2="",0,$I2-$H2)</f>
        <v>0</v>
      </c>
    </row>
    <row r="3" spans="1:13" x14ac:dyDescent="0.25">
      <c r="A3" s="3">
        <v>42005</v>
      </c>
      <c r="B3" s="12" t="str">
        <f t="shared" si="0"/>
        <v>Wed</v>
      </c>
      <c r="C3" s="7">
        <f t="shared" si="1"/>
        <v>1</v>
      </c>
      <c r="H3" s="25">
        <f t="shared" si="2"/>
        <v>7.8</v>
      </c>
      <c r="I3" s="25">
        <f t="shared" si="3"/>
        <v>0</v>
      </c>
      <c r="J3" s="25">
        <f t="shared" si="4"/>
        <v>0</v>
      </c>
      <c r="M3" s="3"/>
    </row>
    <row r="4" spans="1:13" x14ac:dyDescent="0.25">
      <c r="A4" s="3">
        <v>42006</v>
      </c>
      <c r="B4" s="12" t="str">
        <f t="shared" si="0"/>
        <v>Thu</v>
      </c>
      <c r="C4" s="7">
        <f t="shared" si="1"/>
        <v>1</v>
      </c>
      <c r="H4" s="25">
        <f t="shared" si="2"/>
        <v>7.8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42007</v>
      </c>
      <c r="B5" s="12" t="str">
        <f t="shared" si="0"/>
        <v>Fri</v>
      </c>
      <c r="C5" s="7">
        <f t="shared" si="1"/>
        <v>1</v>
      </c>
      <c r="H5" s="25">
        <f t="shared" si="2"/>
        <v>7.8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42008</v>
      </c>
      <c r="B6" s="12" t="str">
        <f t="shared" si="0"/>
        <v>Sat</v>
      </c>
      <c r="C6" s="7">
        <f t="shared" si="1"/>
        <v>1</v>
      </c>
      <c r="H6" s="25">
        <f t="shared" si="2"/>
        <v>0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42009</v>
      </c>
      <c r="B7" s="12" t="str">
        <f t="shared" si="0"/>
        <v>Sun</v>
      </c>
      <c r="C7" s="7">
        <f t="shared" si="1"/>
        <v>1</v>
      </c>
      <c r="H7" s="25">
        <f t="shared" si="2"/>
        <v>0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42010</v>
      </c>
      <c r="B8" s="12" t="str">
        <f t="shared" si="0"/>
        <v>Mon</v>
      </c>
      <c r="C8" s="7">
        <f t="shared" si="1"/>
        <v>2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42011</v>
      </c>
      <c r="B9" s="12" t="str">
        <f t="shared" si="0"/>
        <v>Tue</v>
      </c>
      <c r="C9" s="7">
        <f t="shared" si="1"/>
        <v>2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42012</v>
      </c>
      <c r="B10" s="12" t="str">
        <f t="shared" si="0"/>
        <v>Wed</v>
      </c>
      <c r="C10" s="7">
        <f t="shared" si="1"/>
        <v>2</v>
      </c>
      <c r="H10" s="25">
        <f t="shared" si="2"/>
        <v>7.8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42013</v>
      </c>
      <c r="B11" s="12" t="str">
        <f t="shared" si="0"/>
        <v>Thu</v>
      </c>
      <c r="C11" s="7">
        <f t="shared" si="1"/>
        <v>2</v>
      </c>
      <c r="H11" s="25">
        <f t="shared" si="2"/>
        <v>7.8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42014</v>
      </c>
      <c r="B12" s="12" t="str">
        <f t="shared" si="0"/>
        <v>Fri</v>
      </c>
      <c r="C12" s="7">
        <f t="shared" si="1"/>
        <v>2</v>
      </c>
      <c r="H12" s="25">
        <f t="shared" si="2"/>
        <v>7.8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42015</v>
      </c>
      <c r="B13" s="12" t="str">
        <f t="shared" si="0"/>
        <v>Sat</v>
      </c>
      <c r="C13" s="7">
        <f t="shared" si="1"/>
        <v>2</v>
      </c>
      <c r="H13" s="25">
        <f t="shared" si="2"/>
        <v>0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42016</v>
      </c>
      <c r="B14" s="12" t="str">
        <f t="shared" si="0"/>
        <v>Sun</v>
      </c>
      <c r="C14" s="7">
        <f t="shared" si="1"/>
        <v>2</v>
      </c>
      <c r="H14" s="25">
        <f t="shared" si="2"/>
        <v>0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42017</v>
      </c>
      <c r="B15" s="12" t="str">
        <f t="shared" si="0"/>
        <v>Mon</v>
      </c>
      <c r="C15" s="7">
        <f t="shared" si="1"/>
        <v>3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42018</v>
      </c>
      <c r="B16" s="12" t="str">
        <f t="shared" si="0"/>
        <v>Tue</v>
      </c>
      <c r="C16" s="7">
        <f t="shared" si="1"/>
        <v>3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42019</v>
      </c>
      <c r="B17" s="12" t="str">
        <f t="shared" si="0"/>
        <v>Wed</v>
      </c>
      <c r="C17" s="7">
        <f t="shared" si="1"/>
        <v>3</v>
      </c>
      <c r="H17" s="25">
        <f t="shared" si="2"/>
        <v>7.8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42020</v>
      </c>
      <c r="B18" s="12" t="str">
        <f t="shared" si="0"/>
        <v>Thu</v>
      </c>
      <c r="C18" s="7">
        <f t="shared" si="1"/>
        <v>3</v>
      </c>
      <c r="H18" s="25">
        <f t="shared" si="2"/>
        <v>7.8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42021</v>
      </c>
      <c r="B19" s="12" t="str">
        <f t="shared" si="0"/>
        <v>Fri</v>
      </c>
      <c r="C19" s="7">
        <f t="shared" si="1"/>
        <v>3</v>
      </c>
      <c r="H19" s="25">
        <f t="shared" si="2"/>
        <v>7.8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42022</v>
      </c>
      <c r="B20" s="12" t="str">
        <f t="shared" si="0"/>
        <v>Sat</v>
      </c>
      <c r="C20" s="7">
        <f t="shared" si="1"/>
        <v>3</v>
      </c>
      <c r="H20" s="25">
        <f t="shared" si="2"/>
        <v>0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42023</v>
      </c>
      <c r="B21" s="12" t="str">
        <f t="shared" si="0"/>
        <v>Sun</v>
      </c>
      <c r="C21" s="7">
        <f t="shared" si="1"/>
        <v>3</v>
      </c>
      <c r="H21" s="25">
        <f t="shared" si="2"/>
        <v>0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42024</v>
      </c>
      <c r="B22" s="12" t="str">
        <f t="shared" si="0"/>
        <v>Mon</v>
      </c>
      <c r="C22" s="7">
        <f t="shared" si="1"/>
        <v>4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42025</v>
      </c>
      <c r="B23" s="12" t="str">
        <f t="shared" si="0"/>
        <v>Tue</v>
      </c>
      <c r="C23" s="7">
        <f t="shared" si="1"/>
        <v>4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42026</v>
      </c>
      <c r="B24" s="12" t="str">
        <f t="shared" si="0"/>
        <v>Wed</v>
      </c>
      <c r="C24" s="7">
        <f t="shared" si="1"/>
        <v>4</v>
      </c>
      <c r="H24" s="25">
        <f t="shared" si="2"/>
        <v>7.8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42027</v>
      </c>
      <c r="B25" s="12" t="str">
        <f t="shared" si="0"/>
        <v>Thu</v>
      </c>
      <c r="C25" s="7">
        <f t="shared" si="1"/>
        <v>4</v>
      </c>
      <c r="H25" s="25">
        <f t="shared" si="2"/>
        <v>7.8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42028</v>
      </c>
      <c r="B26" s="12" t="str">
        <f t="shared" si="0"/>
        <v>Fri</v>
      </c>
      <c r="C26" s="7">
        <f t="shared" si="1"/>
        <v>4</v>
      </c>
      <c r="H26" s="25">
        <f t="shared" si="2"/>
        <v>7.8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42029</v>
      </c>
      <c r="B27" s="12" t="str">
        <f t="shared" si="0"/>
        <v>Sat</v>
      </c>
      <c r="C27" s="7">
        <f t="shared" si="1"/>
        <v>4</v>
      </c>
      <c r="H27" s="25">
        <f t="shared" si="2"/>
        <v>0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42030</v>
      </c>
      <c r="B28" s="12" t="str">
        <f t="shared" si="0"/>
        <v>Sun</v>
      </c>
      <c r="C28" s="7">
        <f t="shared" si="1"/>
        <v>4</v>
      </c>
      <c r="H28" s="25">
        <f t="shared" si="2"/>
        <v>0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42031</v>
      </c>
      <c r="B29" s="12" t="str">
        <f t="shared" si="0"/>
        <v>Mon</v>
      </c>
      <c r="C29" s="7">
        <f t="shared" si="1"/>
        <v>5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42032</v>
      </c>
      <c r="B30" s="12" t="str">
        <f t="shared" si="0"/>
        <v>Tue</v>
      </c>
      <c r="C30" s="7">
        <f t="shared" si="1"/>
        <v>5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42033</v>
      </c>
      <c r="B31" s="12" t="str">
        <f t="shared" si="0"/>
        <v>Wed</v>
      </c>
      <c r="C31" s="7">
        <f t="shared" si="1"/>
        <v>5</v>
      </c>
      <c r="H31" s="25">
        <f t="shared" si="2"/>
        <v>7.8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42034</v>
      </c>
      <c r="B32" s="12" t="str">
        <f t="shared" si="0"/>
        <v>Thu</v>
      </c>
      <c r="C32" s="7">
        <f t="shared" si="1"/>
        <v>5</v>
      </c>
      <c r="H32" s="25">
        <f t="shared" si="2"/>
        <v>7.8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42035</v>
      </c>
      <c r="B33" s="12" t="str">
        <f t="shared" si="0"/>
        <v>Fri</v>
      </c>
      <c r="C33" s="7">
        <f t="shared" si="1"/>
        <v>5</v>
      </c>
      <c r="H33" s="25">
        <f t="shared" si="2"/>
        <v>7.8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42036</v>
      </c>
      <c r="B34" s="12" t="str">
        <f t="shared" si="0"/>
        <v>Sat</v>
      </c>
      <c r="C34" s="7">
        <f t="shared" si="1"/>
        <v>5</v>
      </c>
      <c r="H34" s="25">
        <f t="shared" si="2"/>
        <v>0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42037</v>
      </c>
      <c r="B35" s="12" t="str">
        <f t="shared" si="0"/>
        <v>Sun</v>
      </c>
      <c r="C35" s="7">
        <f t="shared" si="1"/>
        <v>5</v>
      </c>
      <c r="H35" s="25">
        <f t="shared" si="2"/>
        <v>0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42038</v>
      </c>
      <c r="B36" s="12" t="str">
        <f t="shared" si="0"/>
        <v>Mon</v>
      </c>
      <c r="C36" s="7">
        <f t="shared" si="1"/>
        <v>6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42039</v>
      </c>
      <c r="B37" s="12" t="str">
        <f t="shared" si="0"/>
        <v>Tue</v>
      </c>
      <c r="C37" s="7">
        <f t="shared" si="1"/>
        <v>6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42040</v>
      </c>
      <c r="B38" s="12" t="str">
        <f t="shared" si="0"/>
        <v>Wed</v>
      </c>
      <c r="C38" s="7">
        <f t="shared" si="1"/>
        <v>6</v>
      </c>
      <c r="H38" s="25">
        <f t="shared" si="2"/>
        <v>7.8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42041</v>
      </c>
      <c r="B39" s="12" t="str">
        <f t="shared" si="0"/>
        <v>Thu</v>
      </c>
      <c r="C39" s="7">
        <f t="shared" si="1"/>
        <v>6</v>
      </c>
      <c r="H39" s="25">
        <f t="shared" si="2"/>
        <v>7.8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42042</v>
      </c>
      <c r="B40" s="12" t="str">
        <f t="shared" si="0"/>
        <v>Fri</v>
      </c>
      <c r="C40" s="7">
        <f t="shared" si="1"/>
        <v>6</v>
      </c>
      <c r="H40" s="25">
        <f t="shared" si="2"/>
        <v>7.8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42043</v>
      </c>
      <c r="B41" s="12" t="str">
        <f t="shared" si="0"/>
        <v>Sat</v>
      </c>
      <c r="C41" s="7">
        <f t="shared" si="1"/>
        <v>6</v>
      </c>
      <c r="H41" s="25">
        <f t="shared" si="2"/>
        <v>0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42044</v>
      </c>
      <c r="B42" s="12" t="str">
        <f t="shared" si="0"/>
        <v>Sun</v>
      </c>
      <c r="C42" s="7">
        <f t="shared" si="1"/>
        <v>6</v>
      </c>
      <c r="H42" s="25">
        <f t="shared" si="2"/>
        <v>0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42045</v>
      </c>
      <c r="B43" s="12" t="str">
        <f t="shared" si="0"/>
        <v>Mon</v>
      </c>
      <c r="C43" s="7">
        <f t="shared" si="1"/>
        <v>7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42046</v>
      </c>
      <c r="B44" s="12" t="str">
        <f t="shared" si="0"/>
        <v>Tue</v>
      </c>
      <c r="C44" s="7">
        <f t="shared" si="1"/>
        <v>7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42047</v>
      </c>
      <c r="B45" s="12" t="str">
        <f t="shared" si="0"/>
        <v>Wed</v>
      </c>
      <c r="C45" s="7">
        <f t="shared" si="1"/>
        <v>7</v>
      </c>
      <c r="H45" s="25">
        <f t="shared" si="2"/>
        <v>7.8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42048</v>
      </c>
      <c r="B46" s="12" t="str">
        <f t="shared" si="0"/>
        <v>Thu</v>
      </c>
      <c r="C46" s="7">
        <f t="shared" si="1"/>
        <v>7</v>
      </c>
      <c r="H46" s="25">
        <f t="shared" si="2"/>
        <v>7.8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42049</v>
      </c>
      <c r="B47" s="12" t="str">
        <f t="shared" si="0"/>
        <v>Fri</v>
      </c>
      <c r="C47" s="7">
        <f t="shared" si="1"/>
        <v>7</v>
      </c>
      <c r="H47" s="25">
        <f t="shared" si="2"/>
        <v>7.8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42050</v>
      </c>
      <c r="B48" s="12" t="str">
        <f t="shared" si="0"/>
        <v>Sat</v>
      </c>
      <c r="C48" s="7">
        <f t="shared" si="1"/>
        <v>7</v>
      </c>
      <c r="H48" s="25">
        <f t="shared" si="2"/>
        <v>0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42051</v>
      </c>
      <c r="B49" s="12" t="str">
        <f t="shared" si="0"/>
        <v>Sun</v>
      </c>
      <c r="C49" s="7">
        <f t="shared" si="1"/>
        <v>7</v>
      </c>
      <c r="H49" s="25">
        <f t="shared" si="2"/>
        <v>0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42052</v>
      </c>
      <c r="B50" s="12" t="str">
        <f t="shared" si="0"/>
        <v>Mon</v>
      </c>
      <c r="C50" s="7">
        <f t="shared" si="1"/>
        <v>8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42053</v>
      </c>
      <c r="B51" s="12" t="str">
        <f t="shared" si="0"/>
        <v>Tue</v>
      </c>
      <c r="C51" s="7">
        <f t="shared" si="1"/>
        <v>8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42054</v>
      </c>
      <c r="B52" s="12" t="str">
        <f t="shared" si="0"/>
        <v>Wed</v>
      </c>
      <c r="C52" s="7">
        <f t="shared" si="1"/>
        <v>8</v>
      </c>
      <c r="H52" s="25">
        <f t="shared" si="2"/>
        <v>7.8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42055</v>
      </c>
      <c r="B53" s="12" t="str">
        <f t="shared" si="0"/>
        <v>Thu</v>
      </c>
      <c r="C53" s="7">
        <f t="shared" si="1"/>
        <v>8</v>
      </c>
      <c r="H53" s="25">
        <f t="shared" si="2"/>
        <v>7.8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42056</v>
      </c>
      <c r="B54" s="12" t="str">
        <f t="shared" si="0"/>
        <v>Fri</v>
      </c>
      <c r="C54" s="7">
        <f t="shared" si="1"/>
        <v>8</v>
      </c>
      <c r="H54" s="25">
        <f t="shared" si="2"/>
        <v>7.8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42057</v>
      </c>
      <c r="B55" s="12" t="str">
        <f t="shared" si="0"/>
        <v>Sat</v>
      </c>
      <c r="C55" s="7">
        <f t="shared" si="1"/>
        <v>8</v>
      </c>
      <c r="H55" s="25">
        <f t="shared" si="2"/>
        <v>0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42058</v>
      </c>
      <c r="B56" s="12" t="str">
        <f t="shared" si="0"/>
        <v>Sun</v>
      </c>
      <c r="C56" s="7">
        <f t="shared" si="1"/>
        <v>8</v>
      </c>
      <c r="H56" s="25">
        <f t="shared" si="2"/>
        <v>0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42059</v>
      </c>
      <c r="B57" s="12" t="str">
        <f t="shared" si="0"/>
        <v>Mon</v>
      </c>
      <c r="C57" s="7">
        <f t="shared" si="1"/>
        <v>9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42060</v>
      </c>
      <c r="B58" s="12" t="str">
        <f t="shared" si="0"/>
        <v>Tue</v>
      </c>
      <c r="C58" s="7">
        <f t="shared" si="1"/>
        <v>9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42061</v>
      </c>
      <c r="B59" s="12" t="str">
        <f t="shared" si="0"/>
        <v>Wed</v>
      </c>
      <c r="C59" s="7">
        <f t="shared" si="1"/>
        <v>9</v>
      </c>
      <c r="H59" s="25">
        <f t="shared" si="2"/>
        <v>7.8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42062</v>
      </c>
      <c r="B60" s="12" t="str">
        <f t="shared" si="0"/>
        <v>Thu</v>
      </c>
      <c r="C60" s="7">
        <f t="shared" si="1"/>
        <v>9</v>
      </c>
      <c r="H60" s="25">
        <f t="shared" si="2"/>
        <v>7.8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42063</v>
      </c>
      <c r="B61" s="12" t="str">
        <f t="shared" si="0"/>
        <v>Fri</v>
      </c>
      <c r="C61" s="7">
        <f t="shared" si="1"/>
        <v>9</v>
      </c>
      <c r="H61" s="25">
        <f t="shared" si="2"/>
        <v>7.8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42064</v>
      </c>
      <c r="B62" s="12" t="str">
        <f t="shared" si="0"/>
        <v>Sat</v>
      </c>
      <c r="C62" s="7">
        <f t="shared" si="1"/>
        <v>9</v>
      </c>
      <c r="H62" s="25">
        <f t="shared" si="2"/>
        <v>0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42065</v>
      </c>
      <c r="B63" s="12" t="str">
        <f t="shared" si="0"/>
        <v>Sun</v>
      </c>
      <c r="C63" s="7">
        <f t="shared" si="1"/>
        <v>9</v>
      </c>
      <c r="H63" s="25">
        <f t="shared" si="2"/>
        <v>0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42066</v>
      </c>
      <c r="B64" s="12" t="str">
        <f t="shared" si="0"/>
        <v>Mon</v>
      </c>
      <c r="C64" s="7">
        <f t="shared" si="1"/>
        <v>10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42067</v>
      </c>
      <c r="B65" s="12" t="str">
        <f t="shared" si="0"/>
        <v>Tue</v>
      </c>
      <c r="C65" s="7">
        <f t="shared" si="1"/>
        <v>10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42068</v>
      </c>
      <c r="B66" s="12" t="str">
        <f t="shared" ref="B66:B129" si="5">CHOOSE(WEEKDAY($A66,2),"Mon","Tue","Wed","Thu","Fri","Sat","Sun")</f>
        <v>Wed</v>
      </c>
      <c r="C66" s="7">
        <f t="shared" ref="C66:C129" si="6">_xlfn.ISOWEEKNUM($A66)</f>
        <v>10</v>
      </c>
      <c r="H66" s="25">
        <f t="shared" ref="H66:H129" si="7">IF(AND(WEEKDAY($A66,2)&lt;=5,COUNTIF(timeaway_types, $D66)=0),7.8,0)</f>
        <v>7.8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42069</v>
      </c>
      <c r="B67" s="12" t="str">
        <f t="shared" si="5"/>
        <v>Thu</v>
      </c>
      <c r="C67" s="7">
        <f t="shared" si="6"/>
        <v>10</v>
      </c>
      <c r="H67" s="25">
        <f t="shared" si="7"/>
        <v>7.8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42070</v>
      </c>
      <c r="B68" s="12" t="str">
        <f t="shared" si="5"/>
        <v>Fri</v>
      </c>
      <c r="C68" s="7">
        <f t="shared" si="6"/>
        <v>10</v>
      </c>
      <c r="H68" s="25">
        <f t="shared" si="7"/>
        <v>7.8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42071</v>
      </c>
      <c r="B69" s="12" t="str">
        <f t="shared" si="5"/>
        <v>Sat</v>
      </c>
      <c r="C69" s="7">
        <f t="shared" si="6"/>
        <v>10</v>
      </c>
      <c r="H69" s="25">
        <f t="shared" si="7"/>
        <v>0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42072</v>
      </c>
      <c r="B70" s="12" t="str">
        <f t="shared" si="5"/>
        <v>Sun</v>
      </c>
      <c r="C70" s="7">
        <f t="shared" si="6"/>
        <v>10</v>
      </c>
      <c r="H70" s="25">
        <f t="shared" si="7"/>
        <v>0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42073</v>
      </c>
      <c r="B71" s="12" t="str">
        <f t="shared" si="5"/>
        <v>Mon</v>
      </c>
      <c r="C71" s="7">
        <f t="shared" si="6"/>
        <v>11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42074</v>
      </c>
      <c r="B72" s="12" t="str">
        <f t="shared" si="5"/>
        <v>Tue</v>
      </c>
      <c r="C72" s="7">
        <f t="shared" si="6"/>
        <v>11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42075</v>
      </c>
      <c r="B73" s="12" t="str">
        <f t="shared" si="5"/>
        <v>Wed</v>
      </c>
      <c r="C73" s="7">
        <f t="shared" si="6"/>
        <v>11</v>
      </c>
      <c r="H73" s="25">
        <f t="shared" si="7"/>
        <v>7.8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42076</v>
      </c>
      <c r="B74" s="12" t="str">
        <f t="shared" si="5"/>
        <v>Thu</v>
      </c>
      <c r="C74" s="7">
        <f t="shared" si="6"/>
        <v>11</v>
      </c>
      <c r="H74" s="25">
        <f t="shared" si="7"/>
        <v>7.8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42077</v>
      </c>
      <c r="B75" s="12" t="str">
        <f t="shared" si="5"/>
        <v>Fri</v>
      </c>
      <c r="C75" s="7">
        <f t="shared" si="6"/>
        <v>11</v>
      </c>
      <c r="H75" s="25">
        <f t="shared" si="7"/>
        <v>7.8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42078</v>
      </c>
      <c r="B76" s="12" t="str">
        <f t="shared" si="5"/>
        <v>Sat</v>
      </c>
      <c r="C76" s="7">
        <f t="shared" si="6"/>
        <v>11</v>
      </c>
      <c r="H76" s="25">
        <f t="shared" si="7"/>
        <v>0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42079</v>
      </c>
      <c r="B77" s="12" t="str">
        <f t="shared" si="5"/>
        <v>Sun</v>
      </c>
      <c r="C77" s="7">
        <f t="shared" si="6"/>
        <v>11</v>
      </c>
      <c r="H77" s="25">
        <f t="shared" si="7"/>
        <v>0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42080</v>
      </c>
      <c r="B78" s="12" t="str">
        <f t="shared" si="5"/>
        <v>Mon</v>
      </c>
      <c r="C78" s="7">
        <f t="shared" si="6"/>
        <v>12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42081</v>
      </c>
      <c r="B79" s="12" t="str">
        <f t="shared" si="5"/>
        <v>Tue</v>
      </c>
      <c r="C79" s="7">
        <f t="shared" si="6"/>
        <v>12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42082</v>
      </c>
      <c r="B80" s="12" t="str">
        <f t="shared" si="5"/>
        <v>Wed</v>
      </c>
      <c r="C80" s="7">
        <f t="shared" si="6"/>
        <v>12</v>
      </c>
      <c r="H80" s="25">
        <f t="shared" si="7"/>
        <v>7.8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42083</v>
      </c>
      <c r="B81" s="12" t="str">
        <f t="shared" si="5"/>
        <v>Thu</v>
      </c>
      <c r="C81" s="7">
        <f t="shared" si="6"/>
        <v>12</v>
      </c>
      <c r="H81" s="25">
        <f t="shared" si="7"/>
        <v>7.8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42084</v>
      </c>
      <c r="B82" s="12" t="str">
        <f t="shared" si="5"/>
        <v>Fri</v>
      </c>
      <c r="C82" s="7">
        <f t="shared" si="6"/>
        <v>12</v>
      </c>
      <c r="H82" s="25">
        <f t="shared" si="7"/>
        <v>7.8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42085</v>
      </c>
      <c r="B83" s="12" t="str">
        <f t="shared" si="5"/>
        <v>Sat</v>
      </c>
      <c r="C83" s="7">
        <f t="shared" si="6"/>
        <v>12</v>
      </c>
      <c r="H83" s="25">
        <f t="shared" si="7"/>
        <v>0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42086</v>
      </c>
      <c r="B84" s="12" t="str">
        <f t="shared" si="5"/>
        <v>Sun</v>
      </c>
      <c r="C84" s="7">
        <f t="shared" si="6"/>
        <v>12</v>
      </c>
      <c r="H84" s="25">
        <f t="shared" si="7"/>
        <v>0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42087</v>
      </c>
      <c r="B85" s="12" t="str">
        <f t="shared" si="5"/>
        <v>Mon</v>
      </c>
      <c r="C85" s="7">
        <f t="shared" si="6"/>
        <v>13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42088</v>
      </c>
      <c r="B86" s="12" t="str">
        <f t="shared" si="5"/>
        <v>Tue</v>
      </c>
      <c r="C86" s="7">
        <f t="shared" si="6"/>
        <v>13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42089</v>
      </c>
      <c r="B87" s="12" t="str">
        <f t="shared" si="5"/>
        <v>Wed</v>
      </c>
      <c r="C87" s="7">
        <f t="shared" si="6"/>
        <v>13</v>
      </c>
      <c r="H87" s="25">
        <f t="shared" si="7"/>
        <v>7.8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42090</v>
      </c>
      <c r="B88" s="12" t="str">
        <f t="shared" si="5"/>
        <v>Thu</v>
      </c>
      <c r="C88" s="7">
        <f t="shared" si="6"/>
        <v>13</v>
      </c>
      <c r="H88" s="25">
        <f t="shared" si="7"/>
        <v>7.8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42091</v>
      </c>
      <c r="B89" s="12" t="str">
        <f t="shared" si="5"/>
        <v>Fri</v>
      </c>
      <c r="C89" s="7">
        <f t="shared" si="6"/>
        <v>13</v>
      </c>
      <c r="H89" s="25">
        <f t="shared" si="7"/>
        <v>7.8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42092</v>
      </c>
      <c r="B90" s="12" t="str">
        <f t="shared" si="5"/>
        <v>Sat</v>
      </c>
      <c r="C90" s="7">
        <f t="shared" si="6"/>
        <v>13</v>
      </c>
      <c r="H90" s="25">
        <f t="shared" si="7"/>
        <v>0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42093</v>
      </c>
      <c r="B91" s="12" t="str">
        <f t="shared" si="5"/>
        <v>Sun</v>
      </c>
      <c r="C91" s="7">
        <f t="shared" si="6"/>
        <v>13</v>
      </c>
      <c r="H91" s="25">
        <f t="shared" si="7"/>
        <v>0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42094</v>
      </c>
      <c r="B92" s="12" t="str">
        <f t="shared" si="5"/>
        <v>Mon</v>
      </c>
      <c r="C92" s="7">
        <f t="shared" si="6"/>
        <v>14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42095</v>
      </c>
      <c r="B93" s="12" t="str">
        <f t="shared" si="5"/>
        <v>Tue</v>
      </c>
      <c r="C93" s="7">
        <f t="shared" si="6"/>
        <v>14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42096</v>
      </c>
      <c r="B94" s="12" t="str">
        <f t="shared" si="5"/>
        <v>Wed</v>
      </c>
      <c r="C94" s="7">
        <f t="shared" si="6"/>
        <v>14</v>
      </c>
      <c r="H94" s="25">
        <f t="shared" si="7"/>
        <v>7.8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42097</v>
      </c>
      <c r="B95" s="12" t="str">
        <f t="shared" si="5"/>
        <v>Thu</v>
      </c>
      <c r="C95" s="7">
        <f t="shared" si="6"/>
        <v>14</v>
      </c>
      <c r="H95" s="25">
        <f t="shared" si="7"/>
        <v>7.8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42098</v>
      </c>
      <c r="B96" s="12" t="str">
        <f t="shared" si="5"/>
        <v>Fri</v>
      </c>
      <c r="C96" s="7">
        <f t="shared" si="6"/>
        <v>14</v>
      </c>
      <c r="H96" s="25">
        <f t="shared" si="7"/>
        <v>7.8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42099</v>
      </c>
      <c r="B97" s="12" t="str">
        <f t="shared" si="5"/>
        <v>Sat</v>
      </c>
      <c r="C97" s="7">
        <f t="shared" si="6"/>
        <v>14</v>
      </c>
      <c r="H97" s="25">
        <f t="shared" si="7"/>
        <v>0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42100</v>
      </c>
      <c r="B98" s="12" t="str">
        <f t="shared" si="5"/>
        <v>Sun</v>
      </c>
      <c r="C98" s="7">
        <f t="shared" si="6"/>
        <v>14</v>
      </c>
      <c r="H98" s="25">
        <f t="shared" si="7"/>
        <v>0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42101</v>
      </c>
      <c r="B99" s="12" t="str">
        <f t="shared" si="5"/>
        <v>Mon</v>
      </c>
      <c r="C99" s="7">
        <f t="shared" si="6"/>
        <v>15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42102</v>
      </c>
      <c r="B100" s="12" t="str">
        <f t="shared" si="5"/>
        <v>Tue</v>
      </c>
      <c r="C100" s="7">
        <f t="shared" si="6"/>
        <v>15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42103</v>
      </c>
      <c r="B101" s="12" t="str">
        <f t="shared" si="5"/>
        <v>Wed</v>
      </c>
      <c r="C101" s="7">
        <f t="shared" si="6"/>
        <v>15</v>
      </c>
      <c r="H101" s="25">
        <f t="shared" si="7"/>
        <v>7.8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42104</v>
      </c>
      <c r="B102" s="12" t="str">
        <f t="shared" si="5"/>
        <v>Thu</v>
      </c>
      <c r="C102" s="7">
        <f t="shared" si="6"/>
        <v>15</v>
      </c>
      <c r="H102" s="25">
        <f t="shared" si="7"/>
        <v>7.8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42105</v>
      </c>
      <c r="B103" s="12" t="str">
        <f t="shared" si="5"/>
        <v>Fri</v>
      </c>
      <c r="C103" s="7">
        <f t="shared" si="6"/>
        <v>15</v>
      </c>
      <c r="H103" s="25">
        <f t="shared" si="7"/>
        <v>7.8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42106</v>
      </c>
      <c r="B104" s="12" t="str">
        <f t="shared" si="5"/>
        <v>Sat</v>
      </c>
      <c r="C104" s="7">
        <f t="shared" si="6"/>
        <v>15</v>
      </c>
      <c r="H104" s="25">
        <f t="shared" si="7"/>
        <v>0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42107</v>
      </c>
      <c r="B105" s="12" t="str">
        <f t="shared" si="5"/>
        <v>Sun</v>
      </c>
      <c r="C105" s="7">
        <f t="shared" si="6"/>
        <v>15</v>
      </c>
      <c r="H105" s="25">
        <f t="shared" si="7"/>
        <v>0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42108</v>
      </c>
      <c r="B106" s="12" t="str">
        <f t="shared" si="5"/>
        <v>Mon</v>
      </c>
      <c r="C106" s="7">
        <f t="shared" si="6"/>
        <v>16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42109</v>
      </c>
      <c r="B107" s="12" t="str">
        <f t="shared" si="5"/>
        <v>Tue</v>
      </c>
      <c r="C107" s="7">
        <f t="shared" si="6"/>
        <v>16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42110</v>
      </c>
      <c r="B108" s="12" t="str">
        <f t="shared" si="5"/>
        <v>Wed</v>
      </c>
      <c r="C108" s="7">
        <f t="shared" si="6"/>
        <v>16</v>
      </c>
      <c r="H108" s="25">
        <f t="shared" si="7"/>
        <v>7.8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42111</v>
      </c>
      <c r="B109" s="12" t="str">
        <f t="shared" si="5"/>
        <v>Thu</v>
      </c>
      <c r="C109" s="7">
        <f t="shared" si="6"/>
        <v>16</v>
      </c>
      <c r="H109" s="25">
        <f t="shared" si="7"/>
        <v>7.8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42112</v>
      </c>
      <c r="B110" s="12" t="str">
        <f t="shared" si="5"/>
        <v>Fri</v>
      </c>
      <c r="C110" s="7">
        <f t="shared" si="6"/>
        <v>16</v>
      </c>
      <c r="H110" s="25">
        <f t="shared" si="7"/>
        <v>7.8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42113</v>
      </c>
      <c r="B111" s="12" t="str">
        <f t="shared" si="5"/>
        <v>Sat</v>
      </c>
      <c r="C111" s="7">
        <f t="shared" si="6"/>
        <v>16</v>
      </c>
      <c r="H111" s="25">
        <f t="shared" si="7"/>
        <v>0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42114</v>
      </c>
      <c r="B112" s="12" t="str">
        <f t="shared" si="5"/>
        <v>Sun</v>
      </c>
      <c r="C112" s="7">
        <f t="shared" si="6"/>
        <v>16</v>
      </c>
      <c r="H112" s="25">
        <f t="shared" si="7"/>
        <v>0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42115</v>
      </c>
      <c r="B113" s="12" t="str">
        <f t="shared" si="5"/>
        <v>Mon</v>
      </c>
      <c r="C113" s="7">
        <f t="shared" si="6"/>
        <v>17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42116</v>
      </c>
      <c r="B114" s="12" t="str">
        <f t="shared" si="5"/>
        <v>Tue</v>
      </c>
      <c r="C114" s="7">
        <f t="shared" si="6"/>
        <v>17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42117</v>
      </c>
      <c r="B115" s="12" t="str">
        <f t="shared" si="5"/>
        <v>Wed</v>
      </c>
      <c r="C115" s="7">
        <f t="shared" si="6"/>
        <v>17</v>
      </c>
      <c r="H115" s="25">
        <f t="shared" si="7"/>
        <v>7.8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42118</v>
      </c>
      <c r="B116" s="12" t="str">
        <f t="shared" si="5"/>
        <v>Thu</v>
      </c>
      <c r="C116" s="7">
        <f t="shared" si="6"/>
        <v>17</v>
      </c>
      <c r="H116" s="25">
        <f t="shared" si="7"/>
        <v>7.8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42119</v>
      </c>
      <c r="B117" s="12" t="str">
        <f t="shared" si="5"/>
        <v>Fri</v>
      </c>
      <c r="C117" s="7">
        <f t="shared" si="6"/>
        <v>17</v>
      </c>
      <c r="H117" s="25">
        <f t="shared" si="7"/>
        <v>7.8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42120</v>
      </c>
      <c r="B118" s="12" t="str">
        <f t="shared" si="5"/>
        <v>Sat</v>
      </c>
      <c r="C118" s="7">
        <f t="shared" si="6"/>
        <v>17</v>
      </c>
      <c r="H118" s="25">
        <f t="shared" si="7"/>
        <v>0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42121</v>
      </c>
      <c r="B119" s="12" t="str">
        <f t="shared" si="5"/>
        <v>Sun</v>
      </c>
      <c r="C119" s="7">
        <f t="shared" si="6"/>
        <v>17</v>
      </c>
      <c r="H119" s="25">
        <f t="shared" si="7"/>
        <v>0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42122</v>
      </c>
      <c r="B120" s="12" t="str">
        <f t="shared" si="5"/>
        <v>Mon</v>
      </c>
      <c r="C120" s="7">
        <f t="shared" si="6"/>
        <v>18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42123</v>
      </c>
      <c r="B121" s="12" t="str">
        <f t="shared" si="5"/>
        <v>Tue</v>
      </c>
      <c r="C121" s="7">
        <f t="shared" si="6"/>
        <v>18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42124</v>
      </c>
      <c r="B122" s="12" t="str">
        <f t="shared" si="5"/>
        <v>Wed</v>
      </c>
      <c r="C122" s="7">
        <f t="shared" si="6"/>
        <v>18</v>
      </c>
      <c r="H122" s="25">
        <f t="shared" si="7"/>
        <v>7.8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42125</v>
      </c>
      <c r="B123" s="12" t="str">
        <f t="shared" si="5"/>
        <v>Thu</v>
      </c>
      <c r="C123" s="7">
        <f t="shared" si="6"/>
        <v>18</v>
      </c>
      <c r="H123" s="25">
        <f t="shared" si="7"/>
        <v>7.8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42126</v>
      </c>
      <c r="B124" s="12" t="str">
        <f t="shared" si="5"/>
        <v>Fri</v>
      </c>
      <c r="C124" s="7">
        <f t="shared" si="6"/>
        <v>18</v>
      </c>
      <c r="H124" s="25">
        <f t="shared" si="7"/>
        <v>7.8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42127</v>
      </c>
      <c r="B125" s="12" t="str">
        <f t="shared" si="5"/>
        <v>Sat</v>
      </c>
      <c r="C125" s="7">
        <f t="shared" si="6"/>
        <v>18</v>
      </c>
      <c r="H125" s="25">
        <f t="shared" si="7"/>
        <v>0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42128</v>
      </c>
      <c r="B126" s="12" t="str">
        <f t="shared" si="5"/>
        <v>Sun</v>
      </c>
      <c r="C126" s="7">
        <f t="shared" si="6"/>
        <v>18</v>
      </c>
      <c r="H126" s="25">
        <f t="shared" si="7"/>
        <v>0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42129</v>
      </c>
      <c r="B127" s="12" t="str">
        <f t="shared" si="5"/>
        <v>Mon</v>
      </c>
      <c r="C127" s="7">
        <f t="shared" si="6"/>
        <v>19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42130</v>
      </c>
      <c r="B128" s="12" t="str">
        <f t="shared" si="5"/>
        <v>Tue</v>
      </c>
      <c r="C128" s="7">
        <f t="shared" si="6"/>
        <v>19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42131</v>
      </c>
      <c r="B129" s="12" t="str">
        <f t="shared" si="5"/>
        <v>Wed</v>
      </c>
      <c r="C129" s="7">
        <f t="shared" si="6"/>
        <v>19</v>
      </c>
      <c r="H129" s="25">
        <f t="shared" si="7"/>
        <v>7.8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42132</v>
      </c>
      <c r="B130" s="12" t="str">
        <f t="shared" ref="B130:B193" si="10">CHOOSE(WEEKDAY($A130,2),"Mon","Tue","Wed","Thu","Fri","Sat","Sun")</f>
        <v>Thu</v>
      </c>
      <c r="C130" s="7">
        <f t="shared" ref="C130:C193" si="11">_xlfn.ISOWEEKNUM($A130)</f>
        <v>19</v>
      </c>
      <c r="H130" s="25">
        <f t="shared" ref="H130:H193" si="12">IF(AND(WEEKDAY($A130,2)&lt;=5,COUNTIF(timeaway_types, $D130)=0),7.8,0)</f>
        <v>7.8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42133</v>
      </c>
      <c r="B131" s="12" t="str">
        <f t="shared" si="10"/>
        <v>Fri</v>
      </c>
      <c r="C131" s="7">
        <f t="shared" si="11"/>
        <v>19</v>
      </c>
      <c r="H131" s="25">
        <f t="shared" si="12"/>
        <v>7.8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42134</v>
      </c>
      <c r="B132" s="12" t="str">
        <f t="shared" si="10"/>
        <v>Sat</v>
      </c>
      <c r="C132" s="7">
        <f t="shared" si="11"/>
        <v>19</v>
      </c>
      <c r="H132" s="25">
        <f t="shared" si="12"/>
        <v>0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42135</v>
      </c>
      <c r="B133" s="12" t="str">
        <f t="shared" si="10"/>
        <v>Sun</v>
      </c>
      <c r="C133" s="7">
        <f t="shared" si="11"/>
        <v>19</v>
      </c>
      <c r="H133" s="25">
        <f t="shared" si="12"/>
        <v>0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42136</v>
      </c>
      <c r="B134" s="12" t="str">
        <f t="shared" si="10"/>
        <v>Mon</v>
      </c>
      <c r="C134" s="7">
        <f t="shared" si="11"/>
        <v>20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42137</v>
      </c>
      <c r="B135" s="12" t="str">
        <f t="shared" si="10"/>
        <v>Tue</v>
      </c>
      <c r="C135" s="7">
        <f t="shared" si="11"/>
        <v>20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42138</v>
      </c>
      <c r="B136" s="12" t="str">
        <f t="shared" si="10"/>
        <v>Wed</v>
      </c>
      <c r="C136" s="7">
        <f t="shared" si="11"/>
        <v>20</v>
      </c>
      <c r="H136" s="25">
        <f t="shared" si="12"/>
        <v>7.8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42139</v>
      </c>
      <c r="B137" s="12" t="str">
        <f t="shared" si="10"/>
        <v>Thu</v>
      </c>
      <c r="C137" s="7">
        <f t="shared" si="11"/>
        <v>20</v>
      </c>
      <c r="H137" s="25">
        <f t="shared" si="12"/>
        <v>7.8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42140</v>
      </c>
      <c r="B138" s="12" t="str">
        <f t="shared" si="10"/>
        <v>Fri</v>
      </c>
      <c r="C138" s="7">
        <f t="shared" si="11"/>
        <v>20</v>
      </c>
      <c r="H138" s="25">
        <f t="shared" si="12"/>
        <v>7.8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42141</v>
      </c>
      <c r="B139" s="12" t="str">
        <f t="shared" si="10"/>
        <v>Sat</v>
      </c>
      <c r="C139" s="7">
        <f t="shared" si="11"/>
        <v>20</v>
      </c>
      <c r="H139" s="25">
        <f t="shared" si="12"/>
        <v>0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42142</v>
      </c>
      <c r="B140" s="12" t="str">
        <f t="shared" si="10"/>
        <v>Sun</v>
      </c>
      <c r="C140" s="7">
        <f t="shared" si="11"/>
        <v>20</v>
      </c>
      <c r="H140" s="25">
        <f t="shared" si="12"/>
        <v>0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42143</v>
      </c>
      <c r="B141" s="12" t="str">
        <f t="shared" si="10"/>
        <v>Mon</v>
      </c>
      <c r="C141" s="7">
        <f t="shared" si="11"/>
        <v>21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42144</v>
      </c>
      <c r="B142" s="12" t="str">
        <f t="shared" si="10"/>
        <v>Tue</v>
      </c>
      <c r="C142" s="7">
        <f t="shared" si="11"/>
        <v>21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42145</v>
      </c>
      <c r="B143" s="12" t="str">
        <f t="shared" si="10"/>
        <v>Wed</v>
      </c>
      <c r="C143" s="7">
        <f t="shared" si="11"/>
        <v>21</v>
      </c>
      <c r="H143" s="25">
        <f t="shared" si="12"/>
        <v>7.8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42146</v>
      </c>
      <c r="B144" s="12" t="str">
        <f t="shared" si="10"/>
        <v>Thu</v>
      </c>
      <c r="C144" s="7">
        <f t="shared" si="11"/>
        <v>21</v>
      </c>
      <c r="H144" s="25">
        <f t="shared" si="12"/>
        <v>7.8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42147</v>
      </c>
      <c r="B145" s="12" t="str">
        <f t="shared" si="10"/>
        <v>Fri</v>
      </c>
      <c r="C145" s="7">
        <f t="shared" si="11"/>
        <v>21</v>
      </c>
      <c r="H145" s="25">
        <f t="shared" si="12"/>
        <v>7.8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42148</v>
      </c>
      <c r="B146" s="12" t="str">
        <f t="shared" si="10"/>
        <v>Sat</v>
      </c>
      <c r="C146" s="7">
        <f t="shared" si="11"/>
        <v>21</v>
      </c>
      <c r="H146" s="25">
        <f t="shared" si="12"/>
        <v>0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42149</v>
      </c>
      <c r="B147" s="12" t="str">
        <f t="shared" si="10"/>
        <v>Sun</v>
      </c>
      <c r="C147" s="7">
        <f t="shared" si="11"/>
        <v>21</v>
      </c>
      <c r="H147" s="25">
        <f t="shared" si="12"/>
        <v>0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42150</v>
      </c>
      <c r="B148" s="12" t="str">
        <f t="shared" si="10"/>
        <v>Mon</v>
      </c>
      <c r="C148" s="7">
        <f t="shared" si="11"/>
        <v>22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42151</v>
      </c>
      <c r="B149" s="12" t="str">
        <f t="shared" si="10"/>
        <v>Tue</v>
      </c>
      <c r="C149" s="7">
        <f t="shared" si="11"/>
        <v>22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42152</v>
      </c>
      <c r="B150" s="12" t="str">
        <f t="shared" si="10"/>
        <v>Wed</v>
      </c>
      <c r="C150" s="7">
        <f t="shared" si="11"/>
        <v>22</v>
      </c>
      <c r="H150" s="25">
        <f t="shared" si="12"/>
        <v>7.8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42153</v>
      </c>
      <c r="B151" s="12" t="str">
        <f t="shared" si="10"/>
        <v>Thu</v>
      </c>
      <c r="C151" s="7">
        <f t="shared" si="11"/>
        <v>22</v>
      </c>
      <c r="H151" s="25">
        <f t="shared" si="12"/>
        <v>7.8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42154</v>
      </c>
      <c r="B152" s="12" t="str">
        <f t="shared" si="10"/>
        <v>Fri</v>
      </c>
      <c r="C152" s="7">
        <f t="shared" si="11"/>
        <v>22</v>
      </c>
      <c r="H152" s="25">
        <f t="shared" si="12"/>
        <v>7.8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42155</v>
      </c>
      <c r="B153" s="12" t="str">
        <f t="shared" si="10"/>
        <v>Sat</v>
      </c>
      <c r="C153" s="7">
        <f t="shared" si="11"/>
        <v>22</v>
      </c>
      <c r="H153" s="25">
        <f t="shared" si="12"/>
        <v>0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42156</v>
      </c>
      <c r="B154" s="12" t="str">
        <f t="shared" si="10"/>
        <v>Sun</v>
      </c>
      <c r="C154" s="7">
        <f t="shared" si="11"/>
        <v>22</v>
      </c>
      <c r="H154" s="25">
        <f t="shared" si="12"/>
        <v>0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42157</v>
      </c>
      <c r="B155" s="12" t="str">
        <f t="shared" si="10"/>
        <v>Mon</v>
      </c>
      <c r="C155" s="7">
        <f t="shared" si="11"/>
        <v>23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42158</v>
      </c>
      <c r="B156" s="12" t="str">
        <f t="shared" si="10"/>
        <v>Tue</v>
      </c>
      <c r="C156" s="7">
        <f t="shared" si="11"/>
        <v>23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42159</v>
      </c>
      <c r="B157" s="12" t="str">
        <f t="shared" si="10"/>
        <v>Wed</v>
      </c>
      <c r="C157" s="7">
        <f t="shared" si="11"/>
        <v>23</v>
      </c>
      <c r="H157" s="25">
        <f t="shared" si="12"/>
        <v>7.8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42160</v>
      </c>
      <c r="B158" s="12" t="str">
        <f t="shared" si="10"/>
        <v>Thu</v>
      </c>
      <c r="C158" s="7">
        <f t="shared" si="11"/>
        <v>23</v>
      </c>
      <c r="H158" s="25">
        <f t="shared" si="12"/>
        <v>7.8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42161</v>
      </c>
      <c r="B159" s="12" t="str">
        <f t="shared" si="10"/>
        <v>Fri</v>
      </c>
      <c r="C159" s="7">
        <f t="shared" si="11"/>
        <v>23</v>
      </c>
      <c r="H159" s="25">
        <f t="shared" si="12"/>
        <v>7.8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42162</v>
      </c>
      <c r="B160" s="12" t="str">
        <f t="shared" si="10"/>
        <v>Sat</v>
      </c>
      <c r="C160" s="7">
        <f t="shared" si="11"/>
        <v>23</v>
      </c>
      <c r="H160" s="25">
        <f t="shared" si="12"/>
        <v>0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42163</v>
      </c>
      <c r="B161" s="12" t="str">
        <f t="shared" si="10"/>
        <v>Sun</v>
      </c>
      <c r="C161" s="7">
        <f t="shared" si="11"/>
        <v>23</v>
      </c>
      <c r="H161" s="25">
        <f t="shared" si="12"/>
        <v>0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42164</v>
      </c>
      <c r="B162" s="12" t="str">
        <f t="shared" si="10"/>
        <v>Mon</v>
      </c>
      <c r="C162" s="7">
        <f t="shared" si="11"/>
        <v>24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42165</v>
      </c>
      <c r="B163" s="12" t="str">
        <f t="shared" si="10"/>
        <v>Tue</v>
      </c>
      <c r="C163" s="7">
        <f t="shared" si="11"/>
        <v>24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42166</v>
      </c>
      <c r="B164" s="12" t="str">
        <f t="shared" si="10"/>
        <v>Wed</v>
      </c>
      <c r="C164" s="7">
        <f t="shared" si="11"/>
        <v>24</v>
      </c>
      <c r="H164" s="25">
        <f t="shared" si="12"/>
        <v>7.8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42167</v>
      </c>
      <c r="B165" s="12" t="str">
        <f t="shared" si="10"/>
        <v>Thu</v>
      </c>
      <c r="C165" s="7">
        <f t="shared" si="11"/>
        <v>24</v>
      </c>
      <c r="H165" s="25">
        <f t="shared" si="12"/>
        <v>7.8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42168</v>
      </c>
      <c r="B166" s="12" t="str">
        <f t="shared" si="10"/>
        <v>Fri</v>
      </c>
      <c r="C166" s="7">
        <f t="shared" si="11"/>
        <v>24</v>
      </c>
      <c r="H166" s="25">
        <f t="shared" si="12"/>
        <v>7.8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42169</v>
      </c>
      <c r="B167" s="12" t="str">
        <f t="shared" si="10"/>
        <v>Sat</v>
      </c>
      <c r="C167" s="7">
        <f t="shared" si="11"/>
        <v>24</v>
      </c>
      <c r="H167" s="25">
        <f t="shared" si="12"/>
        <v>0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42170</v>
      </c>
      <c r="B168" s="12" t="str">
        <f t="shared" si="10"/>
        <v>Sun</v>
      </c>
      <c r="C168" s="7">
        <f t="shared" si="11"/>
        <v>24</v>
      </c>
      <c r="H168" s="25">
        <f t="shared" si="12"/>
        <v>0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42171</v>
      </c>
      <c r="B169" s="12" t="str">
        <f t="shared" si="10"/>
        <v>Mon</v>
      </c>
      <c r="C169" s="7">
        <f t="shared" si="11"/>
        <v>25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42172</v>
      </c>
      <c r="B170" s="12" t="str">
        <f t="shared" si="10"/>
        <v>Tue</v>
      </c>
      <c r="C170" s="7">
        <f t="shared" si="11"/>
        <v>25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42173</v>
      </c>
      <c r="B171" s="12" t="str">
        <f t="shared" si="10"/>
        <v>Wed</v>
      </c>
      <c r="C171" s="7">
        <f t="shared" si="11"/>
        <v>25</v>
      </c>
      <c r="H171" s="25">
        <f t="shared" si="12"/>
        <v>7.8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42174</v>
      </c>
      <c r="B172" s="12" t="str">
        <f t="shared" si="10"/>
        <v>Thu</v>
      </c>
      <c r="C172" s="7">
        <f t="shared" si="11"/>
        <v>25</v>
      </c>
      <c r="H172" s="25">
        <f t="shared" si="12"/>
        <v>7.8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42175</v>
      </c>
      <c r="B173" s="12" t="str">
        <f t="shared" si="10"/>
        <v>Fri</v>
      </c>
      <c r="C173" s="7">
        <f t="shared" si="11"/>
        <v>25</v>
      </c>
      <c r="H173" s="25">
        <f t="shared" si="12"/>
        <v>7.8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42176</v>
      </c>
      <c r="B174" s="12" t="str">
        <f t="shared" si="10"/>
        <v>Sat</v>
      </c>
      <c r="C174" s="7">
        <f t="shared" si="11"/>
        <v>25</v>
      </c>
      <c r="H174" s="25">
        <f t="shared" si="12"/>
        <v>0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42177</v>
      </c>
      <c r="B175" s="12" t="str">
        <f t="shared" si="10"/>
        <v>Sun</v>
      </c>
      <c r="C175" s="7">
        <f t="shared" si="11"/>
        <v>25</v>
      </c>
      <c r="H175" s="25">
        <f t="shared" si="12"/>
        <v>0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42178</v>
      </c>
      <c r="B176" s="12" t="str">
        <f t="shared" si="10"/>
        <v>Mon</v>
      </c>
      <c r="C176" s="7">
        <f t="shared" si="11"/>
        <v>26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42179</v>
      </c>
      <c r="B177" s="12" t="str">
        <f t="shared" si="10"/>
        <v>Tue</v>
      </c>
      <c r="C177" s="7">
        <f t="shared" si="11"/>
        <v>26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42180</v>
      </c>
      <c r="B178" s="12" t="str">
        <f t="shared" si="10"/>
        <v>Wed</v>
      </c>
      <c r="C178" s="7">
        <f t="shared" si="11"/>
        <v>26</v>
      </c>
      <c r="H178" s="25">
        <f t="shared" si="12"/>
        <v>7.8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42181</v>
      </c>
      <c r="B179" s="12" t="str">
        <f t="shared" si="10"/>
        <v>Thu</v>
      </c>
      <c r="C179" s="7">
        <f t="shared" si="11"/>
        <v>26</v>
      </c>
      <c r="H179" s="25">
        <f t="shared" si="12"/>
        <v>7.8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42182</v>
      </c>
      <c r="B180" s="12" t="str">
        <f t="shared" si="10"/>
        <v>Fri</v>
      </c>
      <c r="C180" s="7">
        <f t="shared" si="11"/>
        <v>26</v>
      </c>
      <c r="H180" s="25">
        <f t="shared" si="12"/>
        <v>7.8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42183</v>
      </c>
      <c r="B181" s="12" t="str">
        <f t="shared" si="10"/>
        <v>Sat</v>
      </c>
      <c r="C181" s="7">
        <f t="shared" si="11"/>
        <v>26</v>
      </c>
      <c r="H181" s="25">
        <f t="shared" si="12"/>
        <v>0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42184</v>
      </c>
      <c r="B182" s="12" t="str">
        <f t="shared" si="10"/>
        <v>Sun</v>
      </c>
      <c r="C182" s="7">
        <f t="shared" si="11"/>
        <v>26</v>
      </c>
      <c r="H182" s="25">
        <f t="shared" si="12"/>
        <v>0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42185</v>
      </c>
      <c r="B183" s="12" t="str">
        <f t="shared" si="10"/>
        <v>Mon</v>
      </c>
      <c r="C183" s="7">
        <f t="shared" si="11"/>
        <v>27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42186</v>
      </c>
      <c r="B184" s="12" t="str">
        <f t="shared" si="10"/>
        <v>Tue</v>
      </c>
      <c r="C184" s="7">
        <f t="shared" si="11"/>
        <v>27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42187</v>
      </c>
      <c r="B185" s="12" t="str">
        <f t="shared" si="10"/>
        <v>Wed</v>
      </c>
      <c r="C185" s="7">
        <f t="shared" si="11"/>
        <v>27</v>
      </c>
      <c r="H185" s="25">
        <f t="shared" si="12"/>
        <v>7.8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42188</v>
      </c>
      <c r="B186" s="12" t="str">
        <f t="shared" si="10"/>
        <v>Thu</v>
      </c>
      <c r="C186" s="7">
        <f t="shared" si="11"/>
        <v>27</v>
      </c>
      <c r="H186" s="25">
        <f t="shared" si="12"/>
        <v>7.8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42189</v>
      </c>
      <c r="B187" s="12" t="str">
        <f t="shared" si="10"/>
        <v>Fri</v>
      </c>
      <c r="C187" s="7">
        <f t="shared" si="11"/>
        <v>27</v>
      </c>
      <c r="H187" s="25">
        <f t="shared" si="12"/>
        <v>7.8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42190</v>
      </c>
      <c r="B188" s="12" t="str">
        <f t="shared" si="10"/>
        <v>Sat</v>
      </c>
      <c r="C188" s="7">
        <f t="shared" si="11"/>
        <v>27</v>
      </c>
      <c r="H188" s="25">
        <f t="shared" si="12"/>
        <v>0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42191</v>
      </c>
      <c r="B189" s="12" t="str">
        <f t="shared" si="10"/>
        <v>Sun</v>
      </c>
      <c r="C189" s="7">
        <f t="shared" si="11"/>
        <v>27</v>
      </c>
      <c r="H189" s="25">
        <f t="shared" si="12"/>
        <v>0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42192</v>
      </c>
      <c r="B190" s="12" t="str">
        <f t="shared" si="10"/>
        <v>Mon</v>
      </c>
      <c r="C190" s="7">
        <f t="shared" si="11"/>
        <v>28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42193</v>
      </c>
      <c r="B191" s="12" t="str">
        <f t="shared" si="10"/>
        <v>Tue</v>
      </c>
      <c r="C191" s="7">
        <f t="shared" si="11"/>
        <v>28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42194</v>
      </c>
      <c r="B192" s="12" t="str">
        <f t="shared" si="10"/>
        <v>Wed</v>
      </c>
      <c r="C192" s="7">
        <f t="shared" si="11"/>
        <v>28</v>
      </c>
      <c r="H192" s="25">
        <f t="shared" si="12"/>
        <v>7.8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42195</v>
      </c>
      <c r="B193" s="12" t="str">
        <f t="shared" si="10"/>
        <v>Thu</v>
      </c>
      <c r="C193" s="7">
        <f t="shared" si="11"/>
        <v>28</v>
      </c>
      <c r="H193" s="25">
        <f t="shared" si="12"/>
        <v>7.8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42196</v>
      </c>
      <c r="B194" s="12" t="str">
        <f t="shared" ref="B194:B257" si="15">CHOOSE(WEEKDAY($A194,2),"Mon","Tue","Wed","Thu","Fri","Sat","Sun")</f>
        <v>Fri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7.8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42197</v>
      </c>
      <c r="B195" s="12" t="str">
        <f t="shared" si="15"/>
        <v>Sat</v>
      </c>
      <c r="C195" s="7">
        <f t="shared" si="16"/>
        <v>28</v>
      </c>
      <c r="H195" s="25">
        <f t="shared" si="17"/>
        <v>0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42198</v>
      </c>
      <c r="B196" s="12" t="str">
        <f t="shared" si="15"/>
        <v>Sun</v>
      </c>
      <c r="C196" s="7">
        <f t="shared" si="16"/>
        <v>28</v>
      </c>
      <c r="H196" s="25">
        <f t="shared" si="17"/>
        <v>0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42199</v>
      </c>
      <c r="B197" s="12" t="str">
        <f t="shared" si="15"/>
        <v>Mon</v>
      </c>
      <c r="C197" s="7">
        <f t="shared" si="16"/>
        <v>29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42200</v>
      </c>
      <c r="B198" s="12" t="str">
        <f t="shared" si="15"/>
        <v>Tue</v>
      </c>
      <c r="C198" s="7">
        <f t="shared" si="16"/>
        <v>29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42201</v>
      </c>
      <c r="B199" s="12" t="str">
        <f t="shared" si="15"/>
        <v>Wed</v>
      </c>
      <c r="C199" s="7">
        <f t="shared" si="16"/>
        <v>29</v>
      </c>
      <c r="H199" s="25">
        <f t="shared" si="17"/>
        <v>7.8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42202</v>
      </c>
      <c r="B200" s="12" t="str">
        <f t="shared" si="15"/>
        <v>Thu</v>
      </c>
      <c r="C200" s="7">
        <f t="shared" si="16"/>
        <v>29</v>
      </c>
      <c r="H200" s="25">
        <f t="shared" si="17"/>
        <v>7.8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42203</v>
      </c>
      <c r="B201" s="12" t="str">
        <f t="shared" si="15"/>
        <v>Fri</v>
      </c>
      <c r="C201" s="7">
        <f t="shared" si="16"/>
        <v>29</v>
      </c>
      <c r="H201" s="25">
        <f t="shared" si="17"/>
        <v>7.8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42204</v>
      </c>
      <c r="B202" s="12" t="str">
        <f t="shared" si="15"/>
        <v>Sat</v>
      </c>
      <c r="C202" s="7">
        <f t="shared" si="16"/>
        <v>29</v>
      </c>
      <c r="H202" s="25">
        <f t="shared" si="17"/>
        <v>0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42205</v>
      </c>
      <c r="B203" s="12" t="str">
        <f t="shared" si="15"/>
        <v>Sun</v>
      </c>
      <c r="C203" s="7">
        <f t="shared" si="16"/>
        <v>29</v>
      </c>
      <c r="H203" s="25">
        <f t="shared" si="17"/>
        <v>0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42206</v>
      </c>
      <c r="B204" s="12" t="str">
        <f t="shared" si="15"/>
        <v>Mon</v>
      </c>
      <c r="C204" s="7">
        <f t="shared" si="16"/>
        <v>30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42207</v>
      </c>
      <c r="B205" s="12" t="str">
        <f t="shared" si="15"/>
        <v>Tue</v>
      </c>
      <c r="C205" s="7">
        <f t="shared" si="16"/>
        <v>30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42208</v>
      </c>
      <c r="B206" s="12" t="str">
        <f t="shared" si="15"/>
        <v>Wed</v>
      </c>
      <c r="C206" s="7">
        <f t="shared" si="16"/>
        <v>30</v>
      </c>
      <c r="H206" s="25">
        <f t="shared" si="17"/>
        <v>7.8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42209</v>
      </c>
      <c r="B207" s="12" t="str">
        <f t="shared" si="15"/>
        <v>Thu</v>
      </c>
      <c r="C207" s="7">
        <f t="shared" si="16"/>
        <v>30</v>
      </c>
      <c r="H207" s="25">
        <f t="shared" si="17"/>
        <v>7.8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42210</v>
      </c>
      <c r="B208" s="12" t="str">
        <f t="shared" si="15"/>
        <v>Fri</v>
      </c>
      <c r="C208" s="7">
        <f t="shared" si="16"/>
        <v>30</v>
      </c>
      <c r="H208" s="25">
        <f t="shared" si="17"/>
        <v>7.8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42211</v>
      </c>
      <c r="B209" s="12" t="str">
        <f t="shared" si="15"/>
        <v>Sat</v>
      </c>
      <c r="C209" s="7">
        <f t="shared" si="16"/>
        <v>30</v>
      </c>
      <c r="H209" s="25">
        <f t="shared" si="17"/>
        <v>0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42212</v>
      </c>
      <c r="B210" s="12" t="str">
        <f t="shared" si="15"/>
        <v>Sun</v>
      </c>
      <c r="C210" s="7">
        <f t="shared" si="16"/>
        <v>30</v>
      </c>
      <c r="H210" s="25">
        <f t="shared" si="17"/>
        <v>0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42213</v>
      </c>
      <c r="B211" s="12" t="str">
        <f t="shared" si="15"/>
        <v>Mon</v>
      </c>
      <c r="C211" s="7">
        <f t="shared" si="16"/>
        <v>31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42214</v>
      </c>
      <c r="B212" s="12" t="str">
        <f t="shared" si="15"/>
        <v>Tue</v>
      </c>
      <c r="C212" s="7">
        <f t="shared" si="16"/>
        <v>31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42215</v>
      </c>
      <c r="B213" s="12" t="str">
        <f t="shared" si="15"/>
        <v>Wed</v>
      </c>
      <c r="C213" s="7">
        <f t="shared" si="16"/>
        <v>31</v>
      </c>
      <c r="H213" s="25">
        <f t="shared" si="17"/>
        <v>7.8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42216</v>
      </c>
      <c r="B214" s="12" t="str">
        <f t="shared" si="15"/>
        <v>Thu</v>
      </c>
      <c r="C214" s="7">
        <f t="shared" si="16"/>
        <v>31</v>
      </c>
      <c r="H214" s="25">
        <f t="shared" si="17"/>
        <v>7.8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42217</v>
      </c>
      <c r="B215" s="12" t="str">
        <f t="shared" si="15"/>
        <v>Fri</v>
      </c>
      <c r="C215" s="7">
        <f t="shared" si="16"/>
        <v>31</v>
      </c>
      <c r="H215" s="25">
        <f t="shared" si="17"/>
        <v>7.8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42218</v>
      </c>
      <c r="B216" s="12" t="str">
        <f t="shared" si="15"/>
        <v>Sat</v>
      </c>
      <c r="C216" s="7">
        <f t="shared" si="16"/>
        <v>31</v>
      </c>
      <c r="H216" s="25">
        <f t="shared" si="17"/>
        <v>0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42219</v>
      </c>
      <c r="B217" s="12" t="str">
        <f t="shared" si="15"/>
        <v>Sun</v>
      </c>
      <c r="C217" s="7">
        <f t="shared" si="16"/>
        <v>31</v>
      </c>
      <c r="H217" s="25">
        <f t="shared" si="17"/>
        <v>0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42220</v>
      </c>
      <c r="B218" s="12" t="str">
        <f t="shared" si="15"/>
        <v>Mon</v>
      </c>
      <c r="C218" s="7">
        <f t="shared" si="16"/>
        <v>32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42221</v>
      </c>
      <c r="B219" s="12" t="str">
        <f t="shared" si="15"/>
        <v>Tue</v>
      </c>
      <c r="C219" s="7">
        <f t="shared" si="16"/>
        <v>32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42222</v>
      </c>
      <c r="B220" s="12" t="str">
        <f t="shared" si="15"/>
        <v>Wed</v>
      </c>
      <c r="C220" s="7">
        <f t="shared" si="16"/>
        <v>32</v>
      </c>
      <c r="H220" s="25">
        <f t="shared" si="17"/>
        <v>7.8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42223</v>
      </c>
      <c r="B221" s="12" t="str">
        <f t="shared" si="15"/>
        <v>Thu</v>
      </c>
      <c r="C221" s="7">
        <f t="shared" si="16"/>
        <v>32</v>
      </c>
      <c r="H221" s="25">
        <f t="shared" si="17"/>
        <v>7.8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42224</v>
      </c>
      <c r="B222" s="12" t="str">
        <f t="shared" si="15"/>
        <v>Fri</v>
      </c>
      <c r="C222" s="7">
        <f t="shared" si="16"/>
        <v>32</v>
      </c>
      <c r="H222" s="25">
        <f t="shared" si="17"/>
        <v>7.8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42225</v>
      </c>
      <c r="B223" s="12" t="str">
        <f t="shared" si="15"/>
        <v>Sat</v>
      </c>
      <c r="C223" s="7">
        <f t="shared" si="16"/>
        <v>32</v>
      </c>
      <c r="H223" s="25">
        <f t="shared" si="17"/>
        <v>0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42226</v>
      </c>
      <c r="B224" s="12" t="str">
        <f t="shared" si="15"/>
        <v>Sun</v>
      </c>
      <c r="C224" s="7">
        <f t="shared" si="16"/>
        <v>32</v>
      </c>
      <c r="H224" s="25">
        <f t="shared" si="17"/>
        <v>0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42227</v>
      </c>
      <c r="B225" s="12" t="str">
        <f t="shared" si="15"/>
        <v>Mon</v>
      </c>
      <c r="C225" s="7">
        <f t="shared" si="16"/>
        <v>33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42228</v>
      </c>
      <c r="B226" s="12" t="str">
        <f t="shared" si="15"/>
        <v>Tue</v>
      </c>
      <c r="C226" s="7">
        <f t="shared" si="16"/>
        <v>33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42229</v>
      </c>
      <c r="B227" s="12" t="str">
        <f t="shared" si="15"/>
        <v>Wed</v>
      </c>
      <c r="C227" s="7">
        <f t="shared" si="16"/>
        <v>33</v>
      </c>
      <c r="H227" s="25">
        <f t="shared" si="17"/>
        <v>7.8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42230</v>
      </c>
      <c r="B228" s="12" t="str">
        <f t="shared" si="15"/>
        <v>Thu</v>
      </c>
      <c r="C228" s="7">
        <f t="shared" si="16"/>
        <v>33</v>
      </c>
      <c r="H228" s="25">
        <f t="shared" si="17"/>
        <v>7.8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42231</v>
      </c>
      <c r="B229" s="12" t="str">
        <f t="shared" si="15"/>
        <v>Fri</v>
      </c>
      <c r="C229" s="7">
        <f t="shared" si="16"/>
        <v>33</v>
      </c>
      <c r="H229" s="25">
        <f t="shared" si="17"/>
        <v>7.8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42232</v>
      </c>
      <c r="B230" s="12" t="str">
        <f t="shared" si="15"/>
        <v>Sat</v>
      </c>
      <c r="C230" s="7">
        <f t="shared" si="16"/>
        <v>33</v>
      </c>
      <c r="H230" s="25">
        <f t="shared" si="17"/>
        <v>0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42233</v>
      </c>
      <c r="B231" s="12" t="str">
        <f t="shared" si="15"/>
        <v>Sun</v>
      </c>
      <c r="C231" s="7">
        <f t="shared" si="16"/>
        <v>33</v>
      </c>
      <c r="H231" s="25">
        <f t="shared" si="17"/>
        <v>0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42234</v>
      </c>
      <c r="B232" s="12" t="str">
        <f t="shared" si="15"/>
        <v>Mon</v>
      </c>
      <c r="C232" s="7">
        <f t="shared" si="16"/>
        <v>34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42235</v>
      </c>
      <c r="B233" s="12" t="str">
        <f t="shared" si="15"/>
        <v>Tue</v>
      </c>
      <c r="C233" s="7">
        <f t="shared" si="16"/>
        <v>34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42236</v>
      </c>
      <c r="B234" s="12" t="str">
        <f t="shared" si="15"/>
        <v>Wed</v>
      </c>
      <c r="C234" s="7">
        <f t="shared" si="16"/>
        <v>34</v>
      </c>
      <c r="H234" s="25">
        <f t="shared" si="17"/>
        <v>7.8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42237</v>
      </c>
      <c r="B235" s="12" t="str">
        <f t="shared" si="15"/>
        <v>Thu</v>
      </c>
      <c r="C235" s="7">
        <f t="shared" si="16"/>
        <v>34</v>
      </c>
      <c r="H235" s="25">
        <f t="shared" si="17"/>
        <v>7.8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42238</v>
      </c>
      <c r="B236" s="12" t="str">
        <f t="shared" si="15"/>
        <v>Fri</v>
      </c>
      <c r="C236" s="7">
        <f t="shared" si="16"/>
        <v>34</v>
      </c>
      <c r="H236" s="25">
        <f t="shared" si="17"/>
        <v>7.8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42239</v>
      </c>
      <c r="B237" s="12" t="str">
        <f t="shared" si="15"/>
        <v>Sat</v>
      </c>
      <c r="C237" s="7">
        <f t="shared" si="16"/>
        <v>34</v>
      </c>
      <c r="H237" s="25">
        <f t="shared" si="17"/>
        <v>0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42240</v>
      </c>
      <c r="B238" s="12" t="str">
        <f t="shared" si="15"/>
        <v>Sun</v>
      </c>
      <c r="C238" s="7">
        <f t="shared" si="16"/>
        <v>34</v>
      </c>
      <c r="H238" s="25">
        <f t="shared" si="17"/>
        <v>0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42241</v>
      </c>
      <c r="B239" s="12" t="str">
        <f t="shared" si="15"/>
        <v>Mon</v>
      </c>
      <c r="C239" s="7">
        <f t="shared" si="16"/>
        <v>35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42242</v>
      </c>
      <c r="B240" s="12" t="str">
        <f t="shared" si="15"/>
        <v>Tue</v>
      </c>
      <c r="C240" s="7">
        <f t="shared" si="16"/>
        <v>35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42243</v>
      </c>
      <c r="B241" s="12" t="str">
        <f t="shared" si="15"/>
        <v>Wed</v>
      </c>
      <c r="C241" s="7">
        <f t="shared" si="16"/>
        <v>35</v>
      </c>
      <c r="H241" s="25">
        <f t="shared" si="17"/>
        <v>7.8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42244</v>
      </c>
      <c r="B242" s="12" t="str">
        <f t="shared" si="15"/>
        <v>Thu</v>
      </c>
      <c r="C242" s="7">
        <f t="shared" si="16"/>
        <v>35</v>
      </c>
      <c r="H242" s="25">
        <f t="shared" si="17"/>
        <v>7.8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42245</v>
      </c>
      <c r="B243" s="12" t="str">
        <f t="shared" si="15"/>
        <v>Fri</v>
      </c>
      <c r="C243" s="7">
        <f t="shared" si="16"/>
        <v>35</v>
      </c>
      <c r="H243" s="25">
        <f t="shared" si="17"/>
        <v>7.8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42246</v>
      </c>
      <c r="B244" s="12" t="str">
        <f t="shared" si="15"/>
        <v>Sat</v>
      </c>
      <c r="C244" s="7">
        <f t="shared" si="16"/>
        <v>35</v>
      </c>
      <c r="H244" s="25">
        <f t="shared" si="17"/>
        <v>0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42247</v>
      </c>
      <c r="B245" s="12" t="str">
        <f t="shared" si="15"/>
        <v>Sun</v>
      </c>
      <c r="C245" s="7">
        <f t="shared" si="16"/>
        <v>35</v>
      </c>
      <c r="H245" s="25">
        <f t="shared" si="17"/>
        <v>0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42248</v>
      </c>
      <c r="B246" s="12" t="str">
        <f t="shared" si="15"/>
        <v>Mon</v>
      </c>
      <c r="C246" s="7">
        <f t="shared" si="16"/>
        <v>36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42249</v>
      </c>
      <c r="B247" s="12" t="str">
        <f t="shared" si="15"/>
        <v>Tue</v>
      </c>
      <c r="C247" s="7">
        <f t="shared" si="16"/>
        <v>36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42250</v>
      </c>
      <c r="B248" s="12" t="str">
        <f t="shared" si="15"/>
        <v>Wed</v>
      </c>
      <c r="C248" s="7">
        <f t="shared" si="16"/>
        <v>36</v>
      </c>
      <c r="H248" s="25">
        <f t="shared" si="17"/>
        <v>7.8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42251</v>
      </c>
      <c r="B249" s="12" t="str">
        <f t="shared" si="15"/>
        <v>Thu</v>
      </c>
      <c r="C249" s="7">
        <f t="shared" si="16"/>
        <v>36</v>
      </c>
      <c r="H249" s="25">
        <f t="shared" si="17"/>
        <v>7.8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42252</v>
      </c>
      <c r="B250" s="12" t="str">
        <f t="shared" si="15"/>
        <v>Fri</v>
      </c>
      <c r="C250" s="7">
        <f t="shared" si="16"/>
        <v>36</v>
      </c>
      <c r="H250" s="25">
        <f t="shared" si="17"/>
        <v>7.8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42253</v>
      </c>
      <c r="B251" s="12" t="str">
        <f t="shared" si="15"/>
        <v>Sat</v>
      </c>
      <c r="C251" s="7">
        <f t="shared" si="16"/>
        <v>36</v>
      </c>
      <c r="H251" s="25">
        <f t="shared" si="17"/>
        <v>0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42254</v>
      </c>
      <c r="B252" s="12" t="str">
        <f t="shared" si="15"/>
        <v>Sun</v>
      </c>
      <c r="C252" s="7">
        <f t="shared" si="16"/>
        <v>36</v>
      </c>
      <c r="H252" s="25">
        <f t="shared" si="17"/>
        <v>0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42255</v>
      </c>
      <c r="B253" s="12" t="str">
        <f t="shared" si="15"/>
        <v>Mon</v>
      </c>
      <c r="C253" s="7">
        <f t="shared" si="16"/>
        <v>37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42256</v>
      </c>
      <c r="B254" s="12" t="str">
        <f t="shared" si="15"/>
        <v>Tue</v>
      </c>
      <c r="C254" s="7">
        <f t="shared" si="16"/>
        <v>37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42257</v>
      </c>
      <c r="B255" s="12" t="str">
        <f t="shared" si="15"/>
        <v>Wed</v>
      </c>
      <c r="C255" s="7">
        <f t="shared" si="16"/>
        <v>37</v>
      </c>
      <c r="D255" s="10"/>
      <c r="H255" s="25">
        <f t="shared" si="17"/>
        <v>7.8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42258</v>
      </c>
      <c r="B256" s="12" t="str">
        <f t="shared" si="15"/>
        <v>Thu</v>
      </c>
      <c r="C256" s="7">
        <f t="shared" si="16"/>
        <v>37</v>
      </c>
      <c r="D256" s="10"/>
      <c r="H256" s="25">
        <f t="shared" si="17"/>
        <v>7.8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42259</v>
      </c>
      <c r="B257" s="12" t="str">
        <f t="shared" si="15"/>
        <v>Fri</v>
      </c>
      <c r="C257" s="7">
        <f t="shared" si="16"/>
        <v>37</v>
      </c>
      <c r="D257" s="10"/>
      <c r="H257" s="25">
        <f t="shared" si="17"/>
        <v>7.8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42260</v>
      </c>
      <c r="B258" s="12" t="str">
        <f t="shared" ref="B258:B267" si="20">CHOOSE(WEEKDAY($A258,2),"Mon","Tue","Wed","Thu","Fri","Sat","Sun")</f>
        <v>Sat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0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42261</v>
      </c>
      <c r="B259" s="12" t="str">
        <f t="shared" si="20"/>
        <v>Sun</v>
      </c>
      <c r="C259" s="7">
        <f t="shared" si="21"/>
        <v>37</v>
      </c>
      <c r="H259" s="25">
        <f t="shared" si="22"/>
        <v>0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42262</v>
      </c>
      <c r="B260" s="12" t="str">
        <f t="shared" si="20"/>
        <v>Mon</v>
      </c>
      <c r="C260" s="7">
        <f t="shared" si="21"/>
        <v>38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42263</v>
      </c>
      <c r="B261" s="12" t="str">
        <f t="shared" si="20"/>
        <v>Tue</v>
      </c>
      <c r="C261" s="7">
        <f t="shared" si="21"/>
        <v>38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42264</v>
      </c>
      <c r="B262" s="12" t="str">
        <f t="shared" si="20"/>
        <v>Wed</v>
      </c>
      <c r="C262" s="7">
        <f t="shared" si="21"/>
        <v>38</v>
      </c>
      <c r="D262" s="10"/>
      <c r="H262" s="25">
        <f t="shared" si="22"/>
        <v>7.8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42265</v>
      </c>
      <c r="B263" s="12" t="str">
        <f t="shared" si="20"/>
        <v>Thu</v>
      </c>
      <c r="C263" s="7">
        <f t="shared" si="21"/>
        <v>38</v>
      </c>
      <c r="D263" s="10"/>
      <c r="H263" s="25">
        <f t="shared" si="22"/>
        <v>7.8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42266</v>
      </c>
      <c r="B264" s="12" t="str">
        <f t="shared" si="20"/>
        <v>Fri</v>
      </c>
      <c r="C264" s="7">
        <f t="shared" si="21"/>
        <v>38</v>
      </c>
      <c r="D264" s="10"/>
      <c r="H264" s="25">
        <f t="shared" si="22"/>
        <v>7.8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42267</v>
      </c>
      <c r="B265" s="12" t="str">
        <f t="shared" si="20"/>
        <v>Sat</v>
      </c>
      <c r="C265" s="7">
        <f t="shared" si="21"/>
        <v>38</v>
      </c>
      <c r="H265" s="25">
        <f t="shared" si="22"/>
        <v>0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42268</v>
      </c>
      <c r="B266" s="12" t="str">
        <f t="shared" si="20"/>
        <v>Sun</v>
      </c>
      <c r="C266" s="7">
        <f t="shared" si="21"/>
        <v>38</v>
      </c>
      <c r="H266" s="25">
        <f t="shared" si="22"/>
        <v>0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42269</v>
      </c>
      <c r="B267" s="12" t="str">
        <f t="shared" si="20"/>
        <v>Mon</v>
      </c>
      <c r="C267" s="7">
        <f t="shared" si="21"/>
        <v>39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42270</v>
      </c>
      <c r="B268" s="12" t="str">
        <f>CHOOSE(WEEKDAY($A268,2),"Mon","Tue","Wed","Thu","Fri","Sat","Sun")</f>
        <v>Tue</v>
      </c>
      <c r="C268" s="7">
        <f t="shared" ref="C268:C332" si="25">_xlfn.ISOWEEKNUM($A268)</f>
        <v>39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42271</v>
      </c>
      <c r="B269" s="12" t="str">
        <f t="shared" ref="B269:B332" si="26">CHOOSE(WEEKDAY($A269,2),"Mon","Tue","Wed","Thu","Fri","Sat","Sun")</f>
        <v>Wed</v>
      </c>
      <c r="C269" s="7">
        <f t="shared" si="25"/>
        <v>39</v>
      </c>
      <c r="H269" s="25">
        <f t="shared" si="22"/>
        <v>7.8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42272</v>
      </c>
      <c r="B270" s="12" t="str">
        <f t="shared" si="26"/>
        <v>Thu</v>
      </c>
      <c r="C270" s="7">
        <f t="shared" si="25"/>
        <v>39</v>
      </c>
      <c r="H270" s="25">
        <f t="shared" si="22"/>
        <v>7.8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42273</v>
      </c>
      <c r="B271" s="12" t="str">
        <f t="shared" si="26"/>
        <v>Fri</v>
      </c>
      <c r="C271" s="7">
        <f t="shared" si="25"/>
        <v>39</v>
      </c>
      <c r="H271" s="25">
        <f t="shared" si="22"/>
        <v>7.8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42274</v>
      </c>
      <c r="B272" s="12" t="str">
        <f t="shared" si="26"/>
        <v>Sat</v>
      </c>
      <c r="C272" s="7">
        <f t="shared" si="25"/>
        <v>39</v>
      </c>
      <c r="H272" s="25">
        <f t="shared" si="22"/>
        <v>0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42275</v>
      </c>
      <c r="B273" s="12" t="str">
        <f t="shared" si="26"/>
        <v>Sun</v>
      </c>
      <c r="C273" s="7">
        <f t="shared" si="25"/>
        <v>39</v>
      </c>
      <c r="H273" s="25">
        <f t="shared" si="22"/>
        <v>0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42276</v>
      </c>
      <c r="B274" s="12" t="str">
        <f t="shared" si="26"/>
        <v>Mon</v>
      </c>
      <c r="C274" s="7">
        <f t="shared" si="25"/>
        <v>40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42277</v>
      </c>
      <c r="B275" s="12" t="str">
        <f t="shared" si="26"/>
        <v>Tue</v>
      </c>
      <c r="C275" s="7">
        <f t="shared" si="25"/>
        <v>40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42278</v>
      </c>
      <c r="B276" s="12" t="str">
        <f t="shared" si="26"/>
        <v>Wed</v>
      </c>
      <c r="C276" s="7">
        <f t="shared" si="25"/>
        <v>40</v>
      </c>
      <c r="H276" s="25">
        <f t="shared" si="22"/>
        <v>7.8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42279</v>
      </c>
      <c r="B277" s="12" t="str">
        <f t="shared" si="26"/>
        <v>Thu</v>
      </c>
      <c r="C277" s="7">
        <f t="shared" si="25"/>
        <v>40</v>
      </c>
      <c r="H277" s="25">
        <f t="shared" si="22"/>
        <v>7.8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42280</v>
      </c>
      <c r="B278" s="12" t="str">
        <f t="shared" si="26"/>
        <v>Fri</v>
      </c>
      <c r="C278" s="7">
        <f t="shared" si="25"/>
        <v>40</v>
      </c>
      <c r="H278" s="25">
        <f t="shared" si="22"/>
        <v>7.8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42281</v>
      </c>
      <c r="B279" s="12" t="str">
        <f t="shared" si="26"/>
        <v>Sat</v>
      </c>
      <c r="C279" s="7">
        <f t="shared" si="25"/>
        <v>40</v>
      </c>
      <c r="H279" s="25">
        <f t="shared" si="22"/>
        <v>0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42282</v>
      </c>
      <c r="B280" s="12" t="str">
        <f t="shared" si="26"/>
        <v>Sun</v>
      </c>
      <c r="C280" s="7">
        <f t="shared" si="25"/>
        <v>40</v>
      </c>
      <c r="H280" s="25">
        <f t="shared" si="22"/>
        <v>0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42283</v>
      </c>
      <c r="B281" s="12" t="str">
        <f t="shared" si="26"/>
        <v>Mon</v>
      </c>
      <c r="C281" s="7">
        <f t="shared" si="25"/>
        <v>41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42284</v>
      </c>
      <c r="B282" s="12" t="str">
        <f t="shared" si="26"/>
        <v>Tue</v>
      </c>
      <c r="C282" s="7">
        <f t="shared" si="25"/>
        <v>41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42285</v>
      </c>
      <c r="B283" s="12" t="str">
        <f t="shared" si="26"/>
        <v>Wed</v>
      </c>
      <c r="C283" s="7">
        <f t="shared" si="25"/>
        <v>41</v>
      </c>
      <c r="D283" s="10"/>
      <c r="H283" s="25">
        <f t="shared" si="22"/>
        <v>7.8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42286</v>
      </c>
      <c r="B284" s="12" t="str">
        <f t="shared" si="26"/>
        <v>Thu</v>
      </c>
      <c r="C284" s="7">
        <f t="shared" si="25"/>
        <v>41</v>
      </c>
      <c r="H284" s="25">
        <f t="shared" si="22"/>
        <v>7.8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42287</v>
      </c>
      <c r="B285" s="12" t="str">
        <f t="shared" si="26"/>
        <v>Fri</v>
      </c>
      <c r="C285" s="7">
        <f t="shared" si="25"/>
        <v>41</v>
      </c>
      <c r="H285" s="25">
        <f t="shared" si="22"/>
        <v>7.8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42288</v>
      </c>
      <c r="B286" s="12" t="str">
        <f t="shared" si="26"/>
        <v>Sat</v>
      </c>
      <c r="C286" s="7">
        <f t="shared" si="25"/>
        <v>41</v>
      </c>
      <c r="H286" s="25">
        <f t="shared" si="22"/>
        <v>0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42289</v>
      </c>
      <c r="B287" s="12" t="str">
        <f t="shared" si="26"/>
        <v>Sun</v>
      </c>
      <c r="C287" s="7">
        <f t="shared" si="25"/>
        <v>41</v>
      </c>
      <c r="H287" s="25">
        <f t="shared" si="22"/>
        <v>0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42290</v>
      </c>
      <c r="B288" s="12" t="str">
        <f t="shared" si="26"/>
        <v>Mon</v>
      </c>
      <c r="C288" s="7">
        <f t="shared" si="25"/>
        <v>42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42291</v>
      </c>
      <c r="B289" s="12" t="str">
        <f t="shared" si="26"/>
        <v>Tue</v>
      </c>
      <c r="C289" s="7">
        <f t="shared" si="25"/>
        <v>42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42292</v>
      </c>
      <c r="B290" s="12" t="str">
        <f t="shared" si="26"/>
        <v>Wed</v>
      </c>
      <c r="C290" s="7">
        <f t="shared" si="25"/>
        <v>42</v>
      </c>
      <c r="H290" s="25">
        <f t="shared" si="22"/>
        <v>7.8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42293</v>
      </c>
      <c r="B291" s="12" t="str">
        <f t="shared" si="26"/>
        <v>Thu</v>
      </c>
      <c r="C291" s="7">
        <f t="shared" si="25"/>
        <v>42</v>
      </c>
      <c r="H291" s="25">
        <f t="shared" si="22"/>
        <v>7.8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42294</v>
      </c>
      <c r="B292" s="12" t="str">
        <f t="shared" si="26"/>
        <v>Fri</v>
      </c>
      <c r="C292" s="7">
        <f t="shared" si="25"/>
        <v>42</v>
      </c>
      <c r="H292" s="25">
        <f t="shared" si="22"/>
        <v>7.8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42295</v>
      </c>
      <c r="B293" s="12" t="str">
        <f t="shared" si="26"/>
        <v>Sat</v>
      </c>
      <c r="C293" s="7">
        <f t="shared" si="25"/>
        <v>42</v>
      </c>
      <c r="H293" s="25">
        <f t="shared" si="22"/>
        <v>0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42296</v>
      </c>
      <c r="B294" s="12" t="str">
        <f t="shared" si="26"/>
        <v>Sun</v>
      </c>
      <c r="C294" s="7">
        <f t="shared" si="25"/>
        <v>42</v>
      </c>
      <c r="H294" s="25">
        <f t="shared" si="22"/>
        <v>0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42297</v>
      </c>
      <c r="B295" s="12" t="str">
        <f t="shared" si="26"/>
        <v>Mon</v>
      </c>
      <c r="C295" s="7">
        <f t="shared" si="25"/>
        <v>43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42298</v>
      </c>
      <c r="B296" s="12" t="str">
        <f t="shared" si="26"/>
        <v>Tue</v>
      </c>
      <c r="C296" s="7">
        <f t="shared" si="25"/>
        <v>43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42299</v>
      </c>
      <c r="B297" s="12" t="str">
        <f t="shared" si="26"/>
        <v>Wed</v>
      </c>
      <c r="C297" s="7">
        <f t="shared" si="25"/>
        <v>43</v>
      </c>
      <c r="H297" s="25">
        <f t="shared" si="22"/>
        <v>7.8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42300</v>
      </c>
      <c r="B298" s="12" t="str">
        <f t="shared" si="26"/>
        <v>Thu</v>
      </c>
      <c r="C298" s="7">
        <f t="shared" si="25"/>
        <v>43</v>
      </c>
      <c r="H298" s="25">
        <f t="shared" si="22"/>
        <v>7.8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42301</v>
      </c>
      <c r="B299" s="12" t="str">
        <f t="shared" si="26"/>
        <v>Fri</v>
      </c>
      <c r="C299" s="7">
        <f t="shared" si="25"/>
        <v>43</v>
      </c>
      <c r="H299" s="25">
        <f t="shared" si="22"/>
        <v>7.8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42302</v>
      </c>
      <c r="B300" s="12" t="str">
        <f t="shared" si="26"/>
        <v>Sat</v>
      </c>
      <c r="C300" s="7">
        <f t="shared" si="25"/>
        <v>43</v>
      </c>
      <c r="H300" s="25">
        <f t="shared" si="22"/>
        <v>0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42303</v>
      </c>
      <c r="B301" s="12" t="str">
        <f t="shared" si="26"/>
        <v>Sun</v>
      </c>
      <c r="C301" s="7">
        <f t="shared" si="25"/>
        <v>43</v>
      </c>
      <c r="H301" s="25">
        <f t="shared" si="22"/>
        <v>0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42304</v>
      </c>
      <c r="B302" s="12" t="str">
        <f t="shared" si="26"/>
        <v>Mon</v>
      </c>
      <c r="C302" s="7">
        <f t="shared" si="25"/>
        <v>44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42305</v>
      </c>
      <c r="B303" s="12" t="str">
        <f t="shared" si="26"/>
        <v>Tue</v>
      </c>
      <c r="C303" s="7">
        <f t="shared" si="25"/>
        <v>44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42306</v>
      </c>
      <c r="B304" s="12" t="str">
        <f t="shared" si="26"/>
        <v>Wed</v>
      </c>
      <c r="C304" s="7">
        <f t="shared" si="25"/>
        <v>44</v>
      </c>
      <c r="H304" s="25">
        <f t="shared" si="22"/>
        <v>7.8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42307</v>
      </c>
      <c r="B305" s="12" t="str">
        <f t="shared" si="26"/>
        <v>Thu</v>
      </c>
      <c r="C305" s="7">
        <f t="shared" si="25"/>
        <v>44</v>
      </c>
      <c r="H305" s="25">
        <f t="shared" si="22"/>
        <v>7.8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42308</v>
      </c>
      <c r="B306" s="12" t="str">
        <f t="shared" si="26"/>
        <v>Fri</v>
      </c>
      <c r="C306" s="7">
        <f t="shared" si="25"/>
        <v>44</v>
      </c>
      <c r="H306" s="25">
        <f t="shared" si="22"/>
        <v>7.8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42309</v>
      </c>
      <c r="B307" s="12" t="str">
        <f t="shared" si="26"/>
        <v>Sat</v>
      </c>
      <c r="C307" s="7">
        <f t="shared" si="25"/>
        <v>44</v>
      </c>
      <c r="H307" s="25">
        <f t="shared" si="22"/>
        <v>0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42310</v>
      </c>
      <c r="B308" s="12" t="str">
        <f t="shared" si="26"/>
        <v>Sun</v>
      </c>
      <c r="C308" s="7">
        <f t="shared" si="25"/>
        <v>44</v>
      </c>
      <c r="H308" s="25">
        <f t="shared" si="22"/>
        <v>0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42311</v>
      </c>
      <c r="B309" s="12" t="str">
        <f t="shared" si="26"/>
        <v>Mon</v>
      </c>
      <c r="C309" s="7">
        <f t="shared" si="25"/>
        <v>45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42312</v>
      </c>
      <c r="B310" s="12" t="str">
        <f t="shared" si="26"/>
        <v>Tue</v>
      </c>
      <c r="C310" s="7">
        <f t="shared" si="25"/>
        <v>45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42313</v>
      </c>
      <c r="B311" s="12" t="str">
        <f t="shared" si="26"/>
        <v>Wed</v>
      </c>
      <c r="C311" s="7">
        <f t="shared" si="25"/>
        <v>45</v>
      </c>
      <c r="D311" s="10"/>
      <c r="H311" s="25">
        <f t="shared" si="22"/>
        <v>7.8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42314</v>
      </c>
      <c r="B312" s="12" t="str">
        <f t="shared" si="26"/>
        <v>Thu</v>
      </c>
      <c r="C312" s="7">
        <f t="shared" si="25"/>
        <v>45</v>
      </c>
      <c r="H312" s="25">
        <f t="shared" si="22"/>
        <v>7.8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42315</v>
      </c>
      <c r="B313" s="12" t="str">
        <f t="shared" si="26"/>
        <v>Fri</v>
      </c>
      <c r="C313" s="7">
        <f t="shared" si="25"/>
        <v>45</v>
      </c>
      <c r="H313" s="25">
        <f t="shared" si="22"/>
        <v>7.8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42316</v>
      </c>
      <c r="B314" s="12" t="str">
        <f t="shared" si="26"/>
        <v>Sat</v>
      </c>
      <c r="C314" s="7">
        <f t="shared" si="25"/>
        <v>45</v>
      </c>
      <c r="H314" s="25">
        <f t="shared" si="22"/>
        <v>0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42317</v>
      </c>
      <c r="B315" s="12" t="str">
        <f t="shared" si="26"/>
        <v>Sun</v>
      </c>
      <c r="C315" s="7">
        <f t="shared" si="25"/>
        <v>45</v>
      </c>
      <c r="H315" s="25">
        <f t="shared" si="22"/>
        <v>0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42318</v>
      </c>
      <c r="B316" s="12" t="str">
        <f t="shared" si="26"/>
        <v>Mon</v>
      </c>
      <c r="C316" s="7">
        <f t="shared" si="25"/>
        <v>46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42319</v>
      </c>
      <c r="B317" s="12" t="str">
        <f t="shared" si="26"/>
        <v>Tue</v>
      </c>
      <c r="C317" s="7">
        <f t="shared" si="25"/>
        <v>46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42320</v>
      </c>
      <c r="B318" s="12" t="str">
        <f t="shared" si="26"/>
        <v>Wed</v>
      </c>
      <c r="C318" s="7">
        <f t="shared" si="25"/>
        <v>46</v>
      </c>
      <c r="H318" s="25">
        <f t="shared" si="22"/>
        <v>7.8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42321</v>
      </c>
      <c r="B319" s="12" t="str">
        <f t="shared" si="26"/>
        <v>Thu</v>
      </c>
      <c r="C319" s="7">
        <f t="shared" si="25"/>
        <v>46</v>
      </c>
      <c r="H319" s="25">
        <f t="shared" si="22"/>
        <v>7.8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42322</v>
      </c>
      <c r="B320" s="12" t="str">
        <f t="shared" si="26"/>
        <v>Fri</v>
      </c>
      <c r="C320" s="7">
        <f t="shared" si="25"/>
        <v>46</v>
      </c>
      <c r="H320" s="25">
        <f t="shared" si="22"/>
        <v>7.8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42323</v>
      </c>
      <c r="B321" s="12" t="str">
        <f t="shared" si="26"/>
        <v>Sat</v>
      </c>
      <c r="C321" s="7">
        <f t="shared" si="25"/>
        <v>46</v>
      </c>
      <c r="H321" s="25">
        <f t="shared" si="22"/>
        <v>0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42324</v>
      </c>
      <c r="B322" s="12" t="str">
        <f t="shared" si="26"/>
        <v>Sun</v>
      </c>
      <c r="C322" s="7">
        <f t="shared" si="25"/>
        <v>46</v>
      </c>
      <c r="H322" s="25">
        <f t="shared" ref="H322:H366" si="28">IF(AND(WEEKDAY($A322,2)&lt;=5,COUNTIF(timeaway_types, $D322)=0),7.8,0)</f>
        <v>0</v>
      </c>
      <c r="I322" s="25">
        <f t="shared" ref="I322:I366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42325</v>
      </c>
      <c r="B323" s="12" t="str">
        <f t="shared" si="26"/>
        <v>Mon</v>
      </c>
      <c r="C323" s="7">
        <f t="shared" si="25"/>
        <v>47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42326</v>
      </c>
      <c r="B324" s="12" t="str">
        <f t="shared" si="26"/>
        <v>Tue</v>
      </c>
      <c r="C324" s="7">
        <f t="shared" si="25"/>
        <v>47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42327</v>
      </c>
      <c r="B325" s="12" t="str">
        <f t="shared" si="26"/>
        <v>Wed</v>
      </c>
      <c r="C325" s="7">
        <f t="shared" si="25"/>
        <v>47</v>
      </c>
      <c r="D325" s="10"/>
      <c r="H325" s="25">
        <f t="shared" si="28"/>
        <v>7.8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42328</v>
      </c>
      <c r="B326" s="12" t="str">
        <f t="shared" si="26"/>
        <v>Thu</v>
      </c>
      <c r="C326" s="7">
        <f t="shared" si="25"/>
        <v>47</v>
      </c>
      <c r="H326" s="25">
        <f t="shared" si="28"/>
        <v>7.8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42329</v>
      </c>
      <c r="B327" s="12" t="str">
        <f t="shared" si="26"/>
        <v>Fri</v>
      </c>
      <c r="C327" s="7">
        <f t="shared" si="25"/>
        <v>47</v>
      </c>
      <c r="H327" s="25">
        <f t="shared" si="28"/>
        <v>7.8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42330</v>
      </c>
      <c r="B328" s="12" t="str">
        <f t="shared" si="26"/>
        <v>Sat</v>
      </c>
      <c r="C328" s="7">
        <f t="shared" si="25"/>
        <v>47</v>
      </c>
      <c r="H328" s="25">
        <f t="shared" si="28"/>
        <v>0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42331</v>
      </c>
      <c r="B329" s="12" t="str">
        <f t="shared" si="26"/>
        <v>Sun</v>
      </c>
      <c r="C329" s="7">
        <f t="shared" si="25"/>
        <v>47</v>
      </c>
      <c r="H329" s="25">
        <f t="shared" si="28"/>
        <v>0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42332</v>
      </c>
      <c r="B330" s="12" t="str">
        <f t="shared" si="26"/>
        <v>Mon</v>
      </c>
      <c r="C330" s="7">
        <f t="shared" si="25"/>
        <v>48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42333</v>
      </c>
      <c r="B331" s="12" t="str">
        <f t="shared" si="26"/>
        <v>Tue</v>
      </c>
      <c r="C331" s="7">
        <f t="shared" si="25"/>
        <v>48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42334</v>
      </c>
      <c r="B332" s="12" t="str">
        <f t="shared" si="26"/>
        <v>Wed</v>
      </c>
      <c r="C332" s="7">
        <f t="shared" si="25"/>
        <v>48</v>
      </c>
      <c r="H332" s="25">
        <f t="shared" si="28"/>
        <v>7.8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42335</v>
      </c>
      <c r="B333" s="12" t="str">
        <f t="shared" ref="B333:B366" si="30">CHOOSE(WEEKDAY($A333,2),"Mon","Tue","Wed","Thu","Fri","Sat","Sun")</f>
        <v>Thu</v>
      </c>
      <c r="C333" s="7">
        <f t="shared" ref="C333:C366" si="31">_xlfn.ISOWEEKNUM($A333)</f>
        <v>48</v>
      </c>
      <c r="H333" s="25">
        <f t="shared" si="28"/>
        <v>7.8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42336</v>
      </c>
      <c r="B334" s="12" t="str">
        <f t="shared" si="30"/>
        <v>Fri</v>
      </c>
      <c r="C334" s="7">
        <f t="shared" si="31"/>
        <v>48</v>
      </c>
      <c r="D334" s="10"/>
      <c r="H334" s="25">
        <f t="shared" si="28"/>
        <v>7.8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42337</v>
      </c>
      <c r="B335" s="12" t="str">
        <f t="shared" si="30"/>
        <v>Sat</v>
      </c>
      <c r="C335" s="7">
        <f t="shared" si="31"/>
        <v>48</v>
      </c>
      <c r="H335" s="25">
        <f t="shared" si="28"/>
        <v>0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42338</v>
      </c>
      <c r="B336" s="12" t="str">
        <f t="shared" si="30"/>
        <v>Sun</v>
      </c>
      <c r="C336" s="7">
        <f t="shared" si="31"/>
        <v>48</v>
      </c>
      <c r="H336" s="25">
        <f t="shared" si="28"/>
        <v>0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42339</v>
      </c>
      <c r="B337" s="12" t="str">
        <f t="shared" si="30"/>
        <v>Mon</v>
      </c>
      <c r="C337" s="7">
        <f t="shared" si="31"/>
        <v>49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42340</v>
      </c>
      <c r="B338" s="12" t="str">
        <f t="shared" si="30"/>
        <v>Tue</v>
      </c>
      <c r="C338" s="7">
        <f t="shared" si="31"/>
        <v>49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42341</v>
      </c>
      <c r="B339" s="12" t="str">
        <f t="shared" si="30"/>
        <v>Wed</v>
      </c>
      <c r="C339" s="7">
        <f t="shared" si="31"/>
        <v>49</v>
      </c>
      <c r="H339" s="25">
        <f t="shared" si="28"/>
        <v>7.8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42342</v>
      </c>
      <c r="B340" s="12" t="str">
        <f t="shared" si="30"/>
        <v>Thu</v>
      </c>
      <c r="C340" s="7">
        <f t="shared" si="31"/>
        <v>49</v>
      </c>
      <c r="H340" s="25">
        <f t="shared" si="28"/>
        <v>7.8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42343</v>
      </c>
      <c r="B341" s="12" t="str">
        <f t="shared" si="30"/>
        <v>Fri</v>
      </c>
      <c r="C341" s="7">
        <f t="shared" si="31"/>
        <v>49</v>
      </c>
      <c r="H341" s="25">
        <f t="shared" si="28"/>
        <v>7.8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42344</v>
      </c>
      <c r="B342" s="12" t="str">
        <f t="shared" si="30"/>
        <v>Sat</v>
      </c>
      <c r="C342" s="7">
        <f t="shared" si="31"/>
        <v>49</v>
      </c>
      <c r="H342" s="25">
        <f t="shared" si="28"/>
        <v>0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42345</v>
      </c>
      <c r="B343" s="12" t="str">
        <f t="shared" si="30"/>
        <v>Sun</v>
      </c>
      <c r="C343" s="7">
        <f t="shared" si="31"/>
        <v>49</v>
      </c>
      <c r="H343" s="25">
        <f t="shared" si="28"/>
        <v>0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42346</v>
      </c>
      <c r="B344" s="12" t="str">
        <f t="shared" si="30"/>
        <v>Mon</v>
      </c>
      <c r="C344" s="7">
        <f t="shared" si="31"/>
        <v>50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42347</v>
      </c>
      <c r="B345" s="12" t="str">
        <f t="shared" si="30"/>
        <v>Tue</v>
      </c>
      <c r="C345" s="7">
        <f t="shared" si="31"/>
        <v>50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42348</v>
      </c>
      <c r="B346" s="12" t="str">
        <f t="shared" si="30"/>
        <v>Wed</v>
      </c>
      <c r="C346" s="7">
        <f t="shared" si="31"/>
        <v>50</v>
      </c>
      <c r="H346" s="25">
        <f t="shared" si="28"/>
        <v>7.8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42349</v>
      </c>
      <c r="B347" s="12" t="str">
        <f t="shared" si="30"/>
        <v>Thu</v>
      </c>
      <c r="C347" s="7">
        <f t="shared" si="31"/>
        <v>50</v>
      </c>
      <c r="H347" s="25">
        <f t="shared" si="28"/>
        <v>7.8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42350</v>
      </c>
      <c r="B348" s="12" t="str">
        <f t="shared" si="30"/>
        <v>Fri</v>
      </c>
      <c r="C348" s="7">
        <f t="shared" si="31"/>
        <v>50</v>
      </c>
      <c r="H348" s="25">
        <f t="shared" si="28"/>
        <v>7.8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42351</v>
      </c>
      <c r="B349" s="12" t="str">
        <f t="shared" si="30"/>
        <v>Sat</v>
      </c>
      <c r="C349" s="7">
        <f t="shared" si="31"/>
        <v>50</v>
      </c>
      <c r="H349" s="25">
        <f t="shared" si="28"/>
        <v>0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42352</v>
      </c>
      <c r="B350" s="12" t="str">
        <f t="shared" si="30"/>
        <v>Sun</v>
      </c>
      <c r="C350" s="7">
        <f t="shared" si="31"/>
        <v>50</v>
      </c>
      <c r="H350" s="25">
        <f t="shared" si="28"/>
        <v>0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42353</v>
      </c>
      <c r="B351" s="12" t="str">
        <f t="shared" si="30"/>
        <v>Mon</v>
      </c>
      <c r="C351" s="7">
        <f t="shared" si="31"/>
        <v>51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42354</v>
      </c>
      <c r="B352" s="12" t="str">
        <f t="shared" si="30"/>
        <v>Tue</v>
      </c>
      <c r="C352" s="7">
        <f t="shared" si="31"/>
        <v>51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42355</v>
      </c>
      <c r="B353" s="12" t="str">
        <f t="shared" si="30"/>
        <v>Wed</v>
      </c>
      <c r="C353" s="7">
        <f t="shared" si="31"/>
        <v>51</v>
      </c>
      <c r="H353" s="25">
        <f t="shared" si="28"/>
        <v>7.8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42356</v>
      </c>
      <c r="B354" s="12" t="str">
        <f t="shared" si="30"/>
        <v>Thu</v>
      </c>
      <c r="C354" s="7">
        <f t="shared" si="31"/>
        <v>51</v>
      </c>
      <c r="H354" s="25">
        <f t="shared" si="28"/>
        <v>7.8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42357</v>
      </c>
      <c r="B355" s="12" t="str">
        <f t="shared" si="30"/>
        <v>Fri</v>
      </c>
      <c r="C355" s="7">
        <f t="shared" si="31"/>
        <v>51</v>
      </c>
      <c r="H355" s="25">
        <f t="shared" si="28"/>
        <v>7.8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42358</v>
      </c>
      <c r="B356" s="12" t="str">
        <f t="shared" si="30"/>
        <v>Sat</v>
      </c>
      <c r="C356" s="7">
        <f t="shared" si="31"/>
        <v>51</v>
      </c>
      <c r="H356" s="25">
        <f t="shared" si="28"/>
        <v>0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42359</v>
      </c>
      <c r="B357" s="12" t="str">
        <f t="shared" si="30"/>
        <v>Sun</v>
      </c>
      <c r="C357" s="7">
        <f t="shared" si="31"/>
        <v>51</v>
      </c>
      <c r="H357" s="25">
        <f t="shared" si="28"/>
        <v>0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42360</v>
      </c>
      <c r="B358" s="12" t="str">
        <f t="shared" si="30"/>
        <v>Mon</v>
      </c>
      <c r="C358" s="7">
        <f t="shared" si="31"/>
        <v>52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42361</v>
      </c>
      <c r="B359" s="12" t="str">
        <f t="shared" si="30"/>
        <v>Tue</v>
      </c>
      <c r="C359" s="7">
        <f t="shared" si="31"/>
        <v>52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42362</v>
      </c>
      <c r="B360" s="12" t="str">
        <f t="shared" si="30"/>
        <v>Wed</v>
      </c>
      <c r="C360" s="7">
        <f t="shared" si="31"/>
        <v>52</v>
      </c>
      <c r="H360" s="25">
        <f t="shared" si="28"/>
        <v>7.8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42363</v>
      </c>
      <c r="B361" s="12" t="str">
        <f t="shared" si="30"/>
        <v>Thu</v>
      </c>
      <c r="C361" s="7">
        <f t="shared" si="31"/>
        <v>52</v>
      </c>
      <c r="H361" s="25">
        <f t="shared" si="28"/>
        <v>7.8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42364</v>
      </c>
      <c r="B362" s="12" t="str">
        <f t="shared" si="30"/>
        <v>Fri</v>
      </c>
      <c r="C362" s="7">
        <f t="shared" si="31"/>
        <v>52</v>
      </c>
      <c r="H362" s="25">
        <f t="shared" si="28"/>
        <v>7.8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42365</v>
      </c>
      <c r="B363" s="12" t="str">
        <f t="shared" si="30"/>
        <v>Sat</v>
      </c>
      <c r="C363" s="7">
        <f t="shared" si="31"/>
        <v>52</v>
      </c>
      <c r="H363" s="25">
        <f t="shared" si="28"/>
        <v>0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42366</v>
      </c>
      <c r="B364" s="12" t="str">
        <f t="shared" si="30"/>
        <v>Sun</v>
      </c>
      <c r="C364" s="7">
        <f t="shared" si="31"/>
        <v>52</v>
      </c>
      <c r="H364" s="25">
        <f t="shared" si="28"/>
        <v>0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42367</v>
      </c>
      <c r="B365" s="12" t="str">
        <f t="shared" si="30"/>
        <v>Mon</v>
      </c>
      <c r="C365" s="7">
        <f t="shared" si="31"/>
        <v>1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42368</v>
      </c>
      <c r="B366" s="12" t="str">
        <f t="shared" si="30"/>
        <v>Tue</v>
      </c>
      <c r="C366" s="7">
        <f t="shared" si="31"/>
        <v>1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10" priority="524" operator="containsText" text="Mitfahrer">
      <formula>NOT(ISERROR(SEARCH("Mitfahrer",E1)))</formula>
    </cfRule>
    <cfRule type="containsText" dxfId="9" priority="525" operator="containsText" text="Fahrer">
      <formula>NOT(ISERROR(SEARCH("Fahrer",E1)))</formula>
    </cfRule>
    <cfRule type="containsText" dxfId="8" priority="526" operator="containsText" text="nicht dabei">
      <formula>NOT(ISERROR(SEARCH("nicht dabei",E1)))</formula>
    </cfRule>
  </conditionalFormatting>
  <conditionalFormatting sqref="C1:I1">
    <cfRule type="expression" dxfId="7" priority="6">
      <formula>WEEKDAY(#REF!,2)&gt;5</formula>
    </cfRule>
  </conditionalFormatting>
  <conditionalFormatting sqref="A1:XFD1048576">
    <cfRule type="expression" dxfId="6" priority="3">
      <formula>WEEKDAY($A1,2)&gt;5</formula>
    </cfRule>
  </conditionalFormatting>
  <conditionalFormatting sqref="J2:J366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2">
    <dataValidation type="time" allowBlank="1" showInputMessage="1" showErrorMessage="1" sqref="E2:F1048576">
      <formula1>0.25</formula1>
      <formula2>0.833333333333333</formula2>
    </dataValidation>
    <dataValidation type="list" allowBlank="1" showInputMessage="1" showErrorMessage="1" sqref="D2:D366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C16"/>
  <sheetViews>
    <sheetView workbookViewId="0">
      <selection activeCell="B7" sqref="B7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0</v>
      </c>
      <c r="C13" s="26">
        <v>0</v>
      </c>
    </row>
    <row r="14" spans="1:3" x14ac:dyDescent="0.25">
      <c r="A14" s="11" t="s">
        <v>36</v>
      </c>
      <c r="B14" s="26">
        <v>0</v>
      </c>
      <c r="C14" s="26">
        <v>0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0</v>
      </c>
      <c r="C16" s="26">
        <v>0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2019-01-21T07:30:11Z</dcterms:modified>
</cp:coreProperties>
</file>