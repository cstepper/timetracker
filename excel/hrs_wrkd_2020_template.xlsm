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date1904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ristoph.stepper\cstepper\geomgi\GIdailyhelpers\timetracker\excel\"/>
    </mc:Choice>
  </mc:AlternateContent>
  <xr:revisionPtr revIDLastSave="0" documentId="13_ncr:1_{D64B67D8-E2DE-4B51-83C0-FEDACAC76C41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67" i="1" l="1"/>
  <c r="C367" i="1"/>
  <c r="H367" i="1"/>
  <c r="I367" i="1"/>
  <c r="J367" i="1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3" i="1"/>
  <c r="J4" i="1"/>
  <c r="J5" i="1"/>
  <c r="J280" i="1"/>
  <c r="J281" i="1"/>
  <c r="J282" i="1"/>
  <c r="J287" i="1"/>
  <c r="J288" i="1"/>
  <c r="J290" i="1"/>
  <c r="J294" i="1"/>
  <c r="J295" i="1"/>
  <c r="J298" i="1"/>
  <c r="J301" i="1"/>
  <c r="J302" i="1"/>
  <c r="J306" i="1"/>
  <c r="J308" i="1"/>
  <c r="J309" i="1"/>
  <c r="J315" i="1"/>
  <c r="J316" i="1"/>
  <c r="J322" i="1"/>
  <c r="J323" i="1"/>
  <c r="J329" i="1"/>
  <c r="J330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J63" i="1" s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J103" i="1" s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J313" i="1" s="1"/>
  <c r="I314" i="1"/>
  <c r="I315" i="1"/>
  <c r="I316" i="1"/>
  <c r="I317" i="1"/>
  <c r="I318" i="1"/>
  <c r="I319" i="1"/>
  <c r="I320" i="1"/>
  <c r="I321" i="1"/>
  <c r="J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6" i="1"/>
  <c r="J276" i="1" s="1"/>
  <c r="H277" i="1"/>
  <c r="J277" i="1" s="1"/>
  <c r="H278" i="1"/>
  <c r="J278" i="1" s="1"/>
  <c r="H279" i="1"/>
  <c r="J279" i="1" s="1"/>
  <c r="H280" i="1"/>
  <c r="H281" i="1"/>
  <c r="H282" i="1"/>
  <c r="H283" i="1"/>
  <c r="J283" i="1" s="1"/>
  <c r="H284" i="1"/>
  <c r="J284" i="1" s="1"/>
  <c r="H285" i="1"/>
  <c r="J285" i="1" s="1"/>
  <c r="H286" i="1"/>
  <c r="J286" i="1" s="1"/>
  <c r="H287" i="1"/>
  <c r="H288" i="1"/>
  <c r="H289" i="1"/>
  <c r="J289" i="1" s="1"/>
  <c r="H290" i="1"/>
  <c r="H291" i="1"/>
  <c r="J291" i="1" s="1"/>
  <c r="H292" i="1"/>
  <c r="J292" i="1" s="1"/>
  <c r="H293" i="1"/>
  <c r="J293" i="1" s="1"/>
  <c r="H294" i="1"/>
  <c r="H295" i="1"/>
  <c r="H296" i="1"/>
  <c r="J296" i="1" s="1"/>
  <c r="H297" i="1"/>
  <c r="J297" i="1" s="1"/>
  <c r="H298" i="1"/>
  <c r="H299" i="1"/>
  <c r="J299" i="1" s="1"/>
  <c r="H300" i="1"/>
  <c r="J300" i="1" s="1"/>
  <c r="H301" i="1"/>
  <c r="H302" i="1"/>
  <c r="H303" i="1"/>
  <c r="J303" i="1" s="1"/>
  <c r="H304" i="1"/>
  <c r="J304" i="1" s="1"/>
  <c r="H305" i="1"/>
  <c r="J305" i="1" s="1"/>
  <c r="H306" i="1"/>
  <c r="H307" i="1"/>
  <c r="J307" i="1" s="1"/>
  <c r="H308" i="1"/>
  <c r="H309" i="1"/>
  <c r="H310" i="1"/>
  <c r="J310" i="1" s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I275" i="1"/>
  <c r="H275" i="1"/>
  <c r="J2" i="1" l="1"/>
  <c r="J314" i="1"/>
  <c r="J320" i="1"/>
  <c r="J312" i="1"/>
  <c r="J335" i="1"/>
  <c r="J327" i="1"/>
  <c r="J319" i="1"/>
  <c r="J311" i="1"/>
  <c r="J334" i="1"/>
  <c r="J326" i="1"/>
  <c r="J318" i="1"/>
  <c r="J333" i="1"/>
  <c r="J317" i="1"/>
  <c r="J332" i="1"/>
  <c r="J324" i="1"/>
  <c r="J331" i="1"/>
  <c r="J328" i="1"/>
  <c r="J325" i="1"/>
  <c r="J275" i="1"/>
  <c r="C268" i="1" l="1"/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<sst xmlns="http://schemas.openxmlformats.org/spreadsheetml/2006/main" count="39" uniqueCount="38">
  <si>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</si>
  <si>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</si>
  <si>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</si>
  <si>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</si>
  <si>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</si>
  <si>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</si>
  <si>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</si>
  <si>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</si>
  <si>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</si>
  <si>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</si>
  <si>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</si>
  <si>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</si>
  <si>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</si>
  <si>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</si>
  <si>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</si>
  <si>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</si>
  <si>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</si>
  <si>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</si>
  <si>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</si>
  <si>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</si>
  <si>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</si>
  <si>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</si>
  <si>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</si>
  <si>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</si>
  <si>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</si>
  <si>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</si>
  <si>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Oct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</si>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</sst>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5" fontId="1" fillId="0" borderId="0" xfId="0" quotePrefix="1" applyNumberFormat="1" applyFont="1" applyFill="1" applyAlignment="1">
      <alignment horizontal="right"/>
    </xf>
    <xf numFmtId="2" fontId="4" fillId="0" borderId="0" xfId="0" applyNumberFormat="1" applyFont="1" applyFill="1"/>
    <xf numFmtId="2" fontId="4" fillId="0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1"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66FF66"/>
        </patternFill>
      </fill>
    </dxf>
    <dxf>
      <font>
        <color rgb="FF9C0006"/>
      </font>
      <fill>
        <patternFill>
          <bgColor rgb="FFFF5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tepper, Christoph (GfK)" refreshedDate="42430.358594560188" createdVersion="6" refreshedVersion="6" minRefreshableVersion="3" recordCount="365" xr:uid="{00000000-000A-0000-FFFF-FFFF05000000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20-01-01T00:00:00" maxDate="2020-12-31T00:00:00" count="365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</sharedItems>
      <fieldGroup par="11" base="0">
        <rangePr groupBy="days" startDate="2020-01-01T00:00:00" endDate="2020-12-31T00:00:00"/>
        <groupItems count="368">
          <s v="&lt;2020-01-01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01-Jan"/>
          <s v="&gt;2020-12-31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3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</sharedItems>
    </cacheField>
    <cacheField name="Type" numFmtId="165">
      <sharedItems containsNonDate="0" containsBlank="1" count="6">
        <m/>
        <s v="flexday" u="1"/>
        <s v="public" u="1"/>
        <s v="work" u="1"/>
        <s v="sick" u="1"/>
        <s v="holiday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containsInteger="1" minValue="0" maxValue="0"/>
    </cacheField>
    <cacheField name="+/-" numFmtId="2">
      <sharedItems containsSemiMixedTypes="0" containsString="0" containsNumber="1" containsInteger="1" minValue="0" maxValue="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20-01-01T00:00:00" endDate="2020-12-31T00:00:00"/>
        <groupItems count="14">
          <s v="&lt;2020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0-12-31"/>
        </groupItems>
      </fieldGroup>
    </cacheField>
    <cacheField name="Type2" numFmtId="0" databaseField="0">
      <fieldGroup base="3">
        <discretePr count="6">
          <x v="0"/>
          <x v="2"/>
          <x v="2"/>
          <x v="1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Wed"/>
    <x v="0"/>
    <x v="0"/>
    <m/>
    <m/>
    <m/>
    <n v="7.8"/>
    <n v="0"/>
    <n v="0"/>
    <m/>
  </r>
  <r>
    <x v="1"/>
    <s v="Thu"/>
    <x v="0"/>
    <x v="0"/>
    <m/>
    <m/>
    <m/>
    <n v="7.8"/>
    <n v="0"/>
    <n v="0"/>
    <m/>
  </r>
  <r>
    <x v="2"/>
    <s v="Fri"/>
    <x v="0"/>
    <x v="0"/>
    <m/>
    <m/>
    <m/>
    <n v="7.8"/>
    <n v="0"/>
    <n v="0"/>
    <m/>
  </r>
  <r>
    <x v="3"/>
    <s v="Sat"/>
    <x v="0"/>
    <x v="0"/>
    <m/>
    <m/>
    <m/>
    <n v="0"/>
    <n v="0"/>
    <n v="0"/>
    <m/>
  </r>
  <r>
    <x v="4"/>
    <s v="Sun"/>
    <x v="0"/>
    <x v="0"/>
    <m/>
    <m/>
    <m/>
    <n v="0"/>
    <n v="0"/>
    <n v="0"/>
    <m/>
  </r>
  <r>
    <x v="5"/>
    <s v="Mon"/>
    <x v="1"/>
    <x v="0"/>
    <m/>
    <m/>
    <m/>
    <n v="7.8"/>
    <n v="0"/>
    <n v="0"/>
    <m/>
  </r>
  <r>
    <x v="6"/>
    <s v="Tue"/>
    <x v="1"/>
    <x v="0"/>
    <m/>
    <m/>
    <m/>
    <n v="7.8"/>
    <n v="0"/>
    <n v="0"/>
    <m/>
  </r>
  <r>
    <x v="7"/>
    <s v="Wed"/>
    <x v="1"/>
    <x v="0"/>
    <m/>
    <m/>
    <m/>
    <n v="7.8"/>
    <n v="0"/>
    <n v="0"/>
    <m/>
  </r>
  <r>
    <x v="8"/>
    <s v="Thu"/>
    <x v="1"/>
    <x v="0"/>
    <m/>
    <m/>
    <m/>
    <n v="7.8"/>
    <n v="0"/>
    <n v="0"/>
    <m/>
  </r>
  <r>
    <x v="9"/>
    <s v="Fri"/>
    <x v="1"/>
    <x v="0"/>
    <m/>
    <m/>
    <m/>
    <n v="7.8"/>
    <n v="0"/>
    <n v="0"/>
    <m/>
  </r>
  <r>
    <x v="10"/>
    <s v="Sat"/>
    <x v="1"/>
    <x v="0"/>
    <m/>
    <m/>
    <m/>
    <n v="0"/>
    <n v="0"/>
    <n v="0"/>
    <m/>
  </r>
  <r>
    <x v="11"/>
    <s v="Sun"/>
    <x v="1"/>
    <x v="0"/>
    <m/>
    <m/>
    <m/>
    <n v="0"/>
    <n v="0"/>
    <n v="0"/>
    <m/>
  </r>
  <r>
    <x v="12"/>
    <s v="Mon"/>
    <x v="2"/>
    <x v="0"/>
    <m/>
    <m/>
    <m/>
    <n v="7.8"/>
    <n v="0"/>
    <n v="0"/>
    <m/>
  </r>
  <r>
    <x v="13"/>
    <s v="Tue"/>
    <x v="2"/>
    <x v="0"/>
    <m/>
    <m/>
    <m/>
    <n v="7.8"/>
    <n v="0"/>
    <n v="0"/>
    <m/>
  </r>
  <r>
    <x v="14"/>
    <s v="Wed"/>
    <x v="2"/>
    <x v="0"/>
    <m/>
    <m/>
    <m/>
    <n v="7.8"/>
    <n v="0"/>
    <n v="0"/>
    <m/>
  </r>
  <r>
    <x v="15"/>
    <s v="Thu"/>
    <x v="2"/>
    <x v="0"/>
    <m/>
    <m/>
    <m/>
    <n v="7.8"/>
    <n v="0"/>
    <n v="0"/>
    <m/>
  </r>
  <r>
    <x v="16"/>
    <s v="Fri"/>
    <x v="2"/>
    <x v="0"/>
    <m/>
    <m/>
    <m/>
    <n v="7.8"/>
    <n v="0"/>
    <n v="0"/>
    <m/>
  </r>
  <r>
    <x v="17"/>
    <s v="Sat"/>
    <x v="2"/>
    <x v="0"/>
    <m/>
    <m/>
    <m/>
    <n v="0"/>
    <n v="0"/>
    <n v="0"/>
    <m/>
  </r>
  <r>
    <x v="18"/>
    <s v="Sun"/>
    <x v="2"/>
    <x v="0"/>
    <m/>
    <m/>
    <m/>
    <n v="0"/>
    <n v="0"/>
    <n v="0"/>
    <m/>
  </r>
  <r>
    <x v="19"/>
    <s v="Mon"/>
    <x v="3"/>
    <x v="0"/>
    <m/>
    <m/>
    <m/>
    <n v="7.8"/>
    <n v="0"/>
    <n v="0"/>
    <m/>
  </r>
  <r>
    <x v="20"/>
    <s v="Tue"/>
    <x v="3"/>
    <x v="0"/>
    <m/>
    <m/>
    <m/>
    <n v="7.8"/>
    <n v="0"/>
    <n v="0"/>
    <m/>
  </r>
  <r>
    <x v="21"/>
    <s v="Wed"/>
    <x v="3"/>
    <x v="0"/>
    <m/>
    <m/>
    <m/>
    <n v="7.8"/>
    <n v="0"/>
    <n v="0"/>
    <m/>
  </r>
  <r>
    <x v="22"/>
    <s v="Thu"/>
    <x v="3"/>
    <x v="0"/>
    <m/>
    <m/>
    <m/>
    <n v="7.8"/>
    <n v="0"/>
    <n v="0"/>
    <m/>
  </r>
  <r>
    <x v="23"/>
    <s v="Fri"/>
    <x v="3"/>
    <x v="0"/>
    <m/>
    <m/>
    <m/>
    <n v="7.8"/>
    <n v="0"/>
    <n v="0"/>
    <m/>
  </r>
  <r>
    <x v="24"/>
    <s v="Sat"/>
    <x v="3"/>
    <x v="0"/>
    <m/>
    <m/>
    <m/>
    <n v="0"/>
    <n v="0"/>
    <n v="0"/>
    <m/>
  </r>
  <r>
    <x v="25"/>
    <s v="Sun"/>
    <x v="3"/>
    <x v="0"/>
    <m/>
    <m/>
    <m/>
    <n v="0"/>
    <n v="0"/>
    <n v="0"/>
    <m/>
  </r>
  <r>
    <x v="26"/>
    <s v="Mon"/>
    <x v="4"/>
    <x v="0"/>
    <m/>
    <m/>
    <m/>
    <n v="7.8"/>
    <n v="0"/>
    <n v="0"/>
    <m/>
  </r>
  <r>
    <x v="27"/>
    <s v="Tue"/>
    <x v="4"/>
    <x v="0"/>
    <m/>
    <m/>
    <m/>
    <n v="7.8"/>
    <n v="0"/>
    <n v="0"/>
    <m/>
  </r>
  <r>
    <x v="28"/>
    <s v="Wed"/>
    <x v="4"/>
    <x v="0"/>
    <m/>
    <m/>
    <m/>
    <n v="7.8"/>
    <n v="0"/>
    <n v="0"/>
    <m/>
  </r>
  <r>
    <x v="29"/>
    <s v="Thu"/>
    <x v="4"/>
    <x v="0"/>
    <m/>
    <m/>
    <m/>
    <n v="7.8"/>
    <n v="0"/>
    <n v="0"/>
    <m/>
  </r>
  <r>
    <x v="30"/>
    <s v="Fri"/>
    <x v="4"/>
    <x v="0"/>
    <m/>
    <m/>
    <m/>
    <n v="7.8"/>
    <n v="0"/>
    <n v="0"/>
    <m/>
  </r>
  <r>
    <x v="31"/>
    <s v="Sat"/>
    <x v="4"/>
    <x v="0"/>
    <m/>
    <m/>
    <m/>
    <n v="0"/>
    <n v="0"/>
    <n v="0"/>
    <m/>
  </r>
  <r>
    <x v="32"/>
    <s v="Sun"/>
    <x v="4"/>
    <x v="0"/>
    <m/>
    <m/>
    <m/>
    <n v="0"/>
    <n v="0"/>
    <n v="0"/>
    <m/>
  </r>
  <r>
    <x v="33"/>
    <s v="Mon"/>
    <x v="5"/>
    <x v="0"/>
    <m/>
    <m/>
    <m/>
    <n v="7.8"/>
    <n v="0"/>
    <n v="0"/>
    <m/>
  </r>
  <r>
    <x v="34"/>
    <s v="Tue"/>
    <x v="5"/>
    <x v="0"/>
    <m/>
    <m/>
    <m/>
    <n v="7.8"/>
    <n v="0"/>
    <n v="0"/>
    <m/>
  </r>
  <r>
    <x v="35"/>
    <s v="Wed"/>
    <x v="5"/>
    <x v="0"/>
    <m/>
    <m/>
    <m/>
    <n v="7.8"/>
    <n v="0"/>
    <n v="0"/>
    <m/>
  </r>
  <r>
    <x v="36"/>
    <s v="Thu"/>
    <x v="5"/>
    <x v="0"/>
    <m/>
    <m/>
    <m/>
    <n v="7.8"/>
    <n v="0"/>
    <n v="0"/>
    <m/>
  </r>
  <r>
    <x v="37"/>
    <s v="Fri"/>
    <x v="5"/>
    <x v="0"/>
    <m/>
    <m/>
    <m/>
    <n v="7.8"/>
    <n v="0"/>
    <n v="0"/>
    <m/>
  </r>
  <r>
    <x v="38"/>
    <s v="Sat"/>
    <x v="5"/>
    <x v="0"/>
    <m/>
    <m/>
    <m/>
    <n v="0"/>
    <n v="0"/>
    <n v="0"/>
    <m/>
  </r>
  <r>
    <x v="39"/>
    <s v="Sun"/>
    <x v="5"/>
    <x v="0"/>
    <m/>
    <m/>
    <m/>
    <n v="0"/>
    <n v="0"/>
    <n v="0"/>
    <m/>
  </r>
  <r>
    <x v="40"/>
    <s v="Mon"/>
    <x v="6"/>
    <x v="0"/>
    <m/>
    <m/>
    <m/>
    <n v="7.8"/>
    <n v="0"/>
    <n v="0"/>
    <m/>
  </r>
  <r>
    <x v="41"/>
    <s v="Tue"/>
    <x v="6"/>
    <x v="0"/>
    <m/>
    <m/>
    <m/>
    <n v="7.8"/>
    <n v="0"/>
    <n v="0"/>
    <m/>
  </r>
  <r>
    <x v="42"/>
    <s v="Wed"/>
    <x v="6"/>
    <x v="0"/>
    <m/>
    <m/>
    <m/>
    <n v="7.8"/>
    <n v="0"/>
    <n v="0"/>
    <m/>
  </r>
  <r>
    <x v="43"/>
    <s v="Thu"/>
    <x v="6"/>
    <x v="0"/>
    <m/>
    <m/>
    <m/>
    <n v="7.8"/>
    <n v="0"/>
    <n v="0"/>
    <m/>
  </r>
  <r>
    <x v="44"/>
    <s v="Fri"/>
    <x v="6"/>
    <x v="0"/>
    <m/>
    <m/>
    <m/>
    <n v="7.8"/>
    <n v="0"/>
    <n v="0"/>
    <m/>
  </r>
  <r>
    <x v="45"/>
    <s v="Sat"/>
    <x v="6"/>
    <x v="0"/>
    <m/>
    <m/>
    <m/>
    <n v="0"/>
    <n v="0"/>
    <n v="0"/>
    <m/>
  </r>
  <r>
    <x v="46"/>
    <s v="Sun"/>
    <x v="6"/>
    <x v="0"/>
    <m/>
    <m/>
    <m/>
    <n v="0"/>
    <n v="0"/>
    <n v="0"/>
    <m/>
  </r>
  <r>
    <x v="47"/>
    <s v="Mon"/>
    <x v="7"/>
    <x v="0"/>
    <m/>
    <m/>
    <m/>
    <n v="7.8"/>
    <n v="0"/>
    <n v="0"/>
    <m/>
  </r>
  <r>
    <x v="48"/>
    <s v="Tue"/>
    <x v="7"/>
    <x v="0"/>
    <m/>
    <m/>
    <m/>
    <n v="7.8"/>
    <n v="0"/>
    <n v="0"/>
    <m/>
  </r>
  <r>
    <x v="49"/>
    <s v="Wed"/>
    <x v="7"/>
    <x v="0"/>
    <m/>
    <m/>
    <m/>
    <n v="7.8"/>
    <n v="0"/>
    <n v="0"/>
    <m/>
  </r>
  <r>
    <x v="50"/>
    <s v="Thu"/>
    <x v="7"/>
    <x v="0"/>
    <m/>
    <m/>
    <m/>
    <n v="7.8"/>
    <n v="0"/>
    <n v="0"/>
    <m/>
  </r>
  <r>
    <x v="51"/>
    <s v="Fri"/>
    <x v="7"/>
    <x v="0"/>
    <m/>
    <m/>
    <m/>
    <n v="7.8"/>
    <n v="0"/>
    <n v="0"/>
    <m/>
  </r>
  <r>
    <x v="52"/>
    <s v="Sat"/>
    <x v="7"/>
    <x v="0"/>
    <m/>
    <m/>
    <m/>
    <n v="0"/>
    <n v="0"/>
    <n v="0"/>
    <m/>
  </r>
  <r>
    <x v="53"/>
    <s v="Sun"/>
    <x v="7"/>
    <x v="0"/>
    <m/>
    <m/>
    <m/>
    <n v="0"/>
    <n v="0"/>
    <n v="0"/>
    <m/>
  </r>
  <r>
    <x v="54"/>
    <s v="Mon"/>
    <x v="8"/>
    <x v="0"/>
    <m/>
    <m/>
    <m/>
    <n v="7.8"/>
    <n v="0"/>
    <n v="0"/>
    <m/>
  </r>
  <r>
    <x v="55"/>
    <s v="Tue"/>
    <x v="8"/>
    <x v="0"/>
    <m/>
    <m/>
    <m/>
    <n v="7.8"/>
    <n v="0"/>
    <n v="0"/>
    <m/>
  </r>
  <r>
    <x v="56"/>
    <s v="Wed"/>
    <x v="8"/>
    <x v="0"/>
    <m/>
    <m/>
    <m/>
    <n v="7.8"/>
    <n v="0"/>
    <n v="0"/>
    <m/>
  </r>
  <r>
    <x v="57"/>
    <s v="Thu"/>
    <x v="8"/>
    <x v="0"/>
    <m/>
    <m/>
    <m/>
    <n v="7.8"/>
    <n v="0"/>
    <n v="0"/>
    <m/>
  </r>
  <r>
    <x v="58"/>
    <s v="Fri"/>
    <x v="8"/>
    <x v="0"/>
    <m/>
    <m/>
    <m/>
    <n v="7.8"/>
    <n v="0"/>
    <n v="0"/>
    <m/>
  </r>
  <r>
    <x v="59"/>
    <s v="Sat"/>
    <x v="8"/>
    <x v="0"/>
    <m/>
    <m/>
    <m/>
    <n v="0"/>
    <n v="0"/>
    <n v="0"/>
    <m/>
  </r>
  <r>
    <x v="60"/>
    <s v="Sun"/>
    <x v="8"/>
    <x v="0"/>
    <m/>
    <m/>
    <m/>
    <n v="0"/>
    <n v="0"/>
    <n v="0"/>
    <m/>
  </r>
  <r>
    <x v="61"/>
    <s v="Mon"/>
    <x v="9"/>
    <x v="0"/>
    <m/>
    <m/>
    <m/>
    <n v="7.8"/>
    <n v="0"/>
    <n v="0"/>
    <m/>
  </r>
  <r>
    <x v="62"/>
    <s v="Tue"/>
    <x v="9"/>
    <x v="0"/>
    <m/>
    <m/>
    <m/>
    <n v="7.8"/>
    <n v="0"/>
    <n v="0"/>
    <m/>
  </r>
  <r>
    <x v="63"/>
    <s v="Wed"/>
    <x v="9"/>
    <x v="0"/>
    <m/>
    <m/>
    <m/>
    <n v="7.8"/>
    <n v="0"/>
    <n v="0"/>
    <m/>
  </r>
  <r>
    <x v="64"/>
    <s v="Thu"/>
    <x v="9"/>
    <x v="0"/>
    <m/>
    <m/>
    <m/>
    <n v="7.8"/>
    <n v="0"/>
    <n v="0"/>
    <m/>
  </r>
  <r>
    <x v="65"/>
    <s v="Fri"/>
    <x v="9"/>
    <x v="0"/>
    <m/>
    <m/>
    <m/>
    <n v="7.8"/>
    <n v="0"/>
    <n v="0"/>
    <m/>
  </r>
  <r>
    <x v="66"/>
    <s v="Sat"/>
    <x v="9"/>
    <x v="0"/>
    <m/>
    <m/>
    <m/>
    <n v="0"/>
    <n v="0"/>
    <n v="0"/>
    <m/>
  </r>
  <r>
    <x v="67"/>
    <s v="Sun"/>
    <x v="9"/>
    <x v="0"/>
    <m/>
    <m/>
    <m/>
    <n v="0"/>
    <n v="0"/>
    <n v="0"/>
    <m/>
  </r>
  <r>
    <x v="68"/>
    <s v="Mon"/>
    <x v="10"/>
    <x v="0"/>
    <m/>
    <m/>
    <m/>
    <n v="7.8"/>
    <n v="0"/>
    <n v="0"/>
    <m/>
  </r>
  <r>
    <x v="69"/>
    <s v="Tue"/>
    <x v="10"/>
    <x v="0"/>
    <m/>
    <m/>
    <m/>
    <n v="7.8"/>
    <n v="0"/>
    <n v="0"/>
    <m/>
  </r>
  <r>
    <x v="70"/>
    <s v="Wed"/>
    <x v="10"/>
    <x v="0"/>
    <m/>
    <m/>
    <m/>
    <n v="7.8"/>
    <n v="0"/>
    <n v="0"/>
    <m/>
  </r>
  <r>
    <x v="71"/>
    <s v="Thu"/>
    <x v="10"/>
    <x v="0"/>
    <m/>
    <m/>
    <m/>
    <n v="7.8"/>
    <n v="0"/>
    <n v="0"/>
    <m/>
  </r>
  <r>
    <x v="72"/>
    <s v="Fri"/>
    <x v="10"/>
    <x v="0"/>
    <m/>
    <m/>
    <m/>
    <n v="7.8"/>
    <n v="0"/>
    <n v="0"/>
    <m/>
  </r>
  <r>
    <x v="73"/>
    <s v="Sat"/>
    <x v="10"/>
    <x v="0"/>
    <m/>
    <m/>
    <m/>
    <n v="0"/>
    <n v="0"/>
    <n v="0"/>
    <m/>
  </r>
  <r>
    <x v="74"/>
    <s v="Sun"/>
    <x v="10"/>
    <x v="0"/>
    <m/>
    <m/>
    <m/>
    <n v="0"/>
    <n v="0"/>
    <n v="0"/>
    <m/>
  </r>
  <r>
    <x v="75"/>
    <s v="Mon"/>
    <x v="11"/>
    <x v="0"/>
    <m/>
    <m/>
    <m/>
    <n v="7.8"/>
    <n v="0"/>
    <n v="0"/>
    <m/>
  </r>
  <r>
    <x v="76"/>
    <s v="Tue"/>
    <x v="11"/>
    <x v="0"/>
    <m/>
    <m/>
    <m/>
    <n v="7.8"/>
    <n v="0"/>
    <n v="0"/>
    <m/>
  </r>
  <r>
    <x v="77"/>
    <s v="Wed"/>
    <x v="11"/>
    <x v="0"/>
    <m/>
    <m/>
    <m/>
    <n v="7.8"/>
    <n v="0"/>
    <n v="0"/>
    <m/>
  </r>
  <r>
    <x v="78"/>
    <s v="Thu"/>
    <x v="11"/>
    <x v="0"/>
    <m/>
    <m/>
    <m/>
    <n v="7.8"/>
    <n v="0"/>
    <n v="0"/>
    <m/>
  </r>
  <r>
    <x v="79"/>
    <s v="Fri"/>
    <x v="11"/>
    <x v="0"/>
    <m/>
    <m/>
    <m/>
    <n v="7.8"/>
    <n v="0"/>
    <n v="0"/>
    <m/>
  </r>
  <r>
    <x v="80"/>
    <s v="Sat"/>
    <x v="11"/>
    <x v="0"/>
    <m/>
    <m/>
    <m/>
    <n v="0"/>
    <n v="0"/>
    <n v="0"/>
    <m/>
  </r>
  <r>
    <x v="81"/>
    <s v="Sun"/>
    <x v="11"/>
    <x v="0"/>
    <m/>
    <m/>
    <m/>
    <n v="0"/>
    <n v="0"/>
    <n v="0"/>
    <m/>
  </r>
  <r>
    <x v="82"/>
    <s v="Mon"/>
    <x v="12"/>
    <x v="0"/>
    <m/>
    <m/>
    <m/>
    <n v="7.8"/>
    <n v="0"/>
    <n v="0"/>
    <m/>
  </r>
  <r>
    <x v="83"/>
    <s v="Tue"/>
    <x v="12"/>
    <x v="0"/>
    <m/>
    <m/>
    <m/>
    <n v="7.8"/>
    <n v="0"/>
    <n v="0"/>
    <m/>
  </r>
  <r>
    <x v="84"/>
    <s v="Wed"/>
    <x v="12"/>
    <x v="0"/>
    <m/>
    <m/>
    <m/>
    <n v="7.8"/>
    <n v="0"/>
    <n v="0"/>
    <m/>
  </r>
  <r>
    <x v="85"/>
    <s v="Thu"/>
    <x v="12"/>
    <x v="0"/>
    <m/>
    <m/>
    <m/>
    <n v="7.8"/>
    <n v="0"/>
    <n v="0"/>
    <m/>
  </r>
  <r>
    <x v="86"/>
    <s v="Fri"/>
    <x v="12"/>
    <x v="0"/>
    <m/>
    <m/>
    <m/>
    <n v="7.8"/>
    <n v="0"/>
    <n v="0"/>
    <m/>
  </r>
  <r>
    <x v="87"/>
    <s v="Sat"/>
    <x v="12"/>
    <x v="0"/>
    <m/>
    <m/>
    <m/>
    <n v="0"/>
    <n v="0"/>
    <n v="0"/>
    <m/>
  </r>
  <r>
    <x v="88"/>
    <s v="Sun"/>
    <x v="12"/>
    <x v="0"/>
    <m/>
    <m/>
    <m/>
    <n v="0"/>
    <n v="0"/>
    <n v="0"/>
    <m/>
  </r>
  <r>
    <x v="89"/>
    <s v="Mon"/>
    <x v="13"/>
    <x v="0"/>
    <m/>
    <m/>
    <m/>
    <n v="7.8"/>
    <n v="0"/>
    <n v="0"/>
    <m/>
  </r>
  <r>
    <x v="90"/>
    <s v="Tue"/>
    <x v="13"/>
    <x v="0"/>
    <m/>
    <m/>
    <m/>
    <n v="7.8"/>
    <n v="0"/>
    <n v="0"/>
    <m/>
  </r>
  <r>
    <x v="91"/>
    <s v="Wed"/>
    <x v="13"/>
    <x v="0"/>
    <m/>
    <m/>
    <m/>
    <n v="7.8"/>
    <n v="0"/>
    <n v="0"/>
    <m/>
  </r>
  <r>
    <x v="92"/>
    <s v="Thu"/>
    <x v="13"/>
    <x v="0"/>
    <m/>
    <m/>
    <m/>
    <n v="7.8"/>
    <n v="0"/>
    <n v="0"/>
    <m/>
  </r>
  <r>
    <x v="93"/>
    <s v="Fri"/>
    <x v="13"/>
    <x v="0"/>
    <m/>
    <m/>
    <m/>
    <n v="7.8"/>
    <n v="0"/>
    <n v="0"/>
    <m/>
  </r>
  <r>
    <x v="94"/>
    <s v="Sat"/>
    <x v="13"/>
    <x v="0"/>
    <m/>
    <m/>
    <m/>
    <n v="0"/>
    <n v="0"/>
    <n v="0"/>
    <m/>
  </r>
  <r>
    <x v="95"/>
    <s v="Sun"/>
    <x v="13"/>
    <x v="0"/>
    <m/>
    <m/>
    <m/>
    <n v="0"/>
    <n v="0"/>
    <n v="0"/>
    <m/>
  </r>
  <r>
    <x v="96"/>
    <s v="Mon"/>
    <x v="14"/>
    <x v="0"/>
    <m/>
    <m/>
    <m/>
    <n v="7.8"/>
    <n v="0"/>
    <n v="0"/>
    <m/>
  </r>
  <r>
    <x v="97"/>
    <s v="Tue"/>
    <x v="14"/>
    <x v="0"/>
    <m/>
    <m/>
    <m/>
    <n v="7.8"/>
    <n v="0"/>
    <n v="0"/>
    <m/>
  </r>
  <r>
    <x v="98"/>
    <s v="Wed"/>
    <x v="14"/>
    <x v="0"/>
    <m/>
    <m/>
    <m/>
    <n v="7.8"/>
    <n v="0"/>
    <n v="0"/>
    <m/>
  </r>
  <r>
    <x v="99"/>
    <s v="Thu"/>
    <x v="14"/>
    <x v="0"/>
    <m/>
    <m/>
    <m/>
    <n v="7.8"/>
    <n v="0"/>
    <n v="0"/>
    <m/>
  </r>
  <r>
    <x v="100"/>
    <s v="Fri"/>
    <x v="14"/>
    <x v="0"/>
    <m/>
    <m/>
    <m/>
    <n v="7.8"/>
    <n v="0"/>
    <n v="0"/>
    <m/>
  </r>
  <r>
    <x v="101"/>
    <s v="Sat"/>
    <x v="14"/>
    <x v="0"/>
    <m/>
    <m/>
    <m/>
    <n v="0"/>
    <n v="0"/>
    <n v="0"/>
    <m/>
  </r>
  <r>
    <x v="102"/>
    <s v="Sun"/>
    <x v="14"/>
    <x v="0"/>
    <m/>
    <m/>
    <m/>
    <n v="0"/>
    <n v="0"/>
    <n v="0"/>
    <m/>
  </r>
  <r>
    <x v="103"/>
    <s v="Mon"/>
    <x v="15"/>
    <x v="0"/>
    <m/>
    <m/>
    <m/>
    <n v="7.8"/>
    <n v="0"/>
    <n v="0"/>
    <m/>
  </r>
  <r>
    <x v="104"/>
    <s v="Tue"/>
    <x v="15"/>
    <x v="0"/>
    <m/>
    <m/>
    <m/>
    <n v="7.8"/>
    <n v="0"/>
    <n v="0"/>
    <m/>
  </r>
  <r>
    <x v="105"/>
    <s v="Wed"/>
    <x v="15"/>
    <x v="0"/>
    <m/>
    <m/>
    <m/>
    <n v="7.8"/>
    <n v="0"/>
    <n v="0"/>
    <m/>
  </r>
  <r>
    <x v="106"/>
    <s v="Thu"/>
    <x v="15"/>
    <x v="0"/>
    <m/>
    <m/>
    <m/>
    <n v="7.8"/>
    <n v="0"/>
    <n v="0"/>
    <m/>
  </r>
  <r>
    <x v="107"/>
    <s v="Fri"/>
    <x v="15"/>
    <x v="0"/>
    <m/>
    <m/>
    <m/>
    <n v="7.8"/>
    <n v="0"/>
    <n v="0"/>
    <m/>
  </r>
  <r>
    <x v="108"/>
    <s v="Sat"/>
    <x v="15"/>
    <x v="0"/>
    <m/>
    <m/>
    <m/>
    <n v="0"/>
    <n v="0"/>
    <n v="0"/>
    <m/>
  </r>
  <r>
    <x v="109"/>
    <s v="Sun"/>
    <x v="15"/>
    <x v="0"/>
    <m/>
    <m/>
    <m/>
    <n v="0"/>
    <n v="0"/>
    <n v="0"/>
    <m/>
  </r>
  <r>
    <x v="110"/>
    <s v="Mon"/>
    <x v="16"/>
    <x v="0"/>
    <m/>
    <m/>
    <m/>
    <n v="7.8"/>
    <n v="0"/>
    <n v="0"/>
    <m/>
  </r>
  <r>
    <x v="111"/>
    <s v="Tue"/>
    <x v="16"/>
    <x v="0"/>
    <m/>
    <m/>
    <m/>
    <n v="7.8"/>
    <n v="0"/>
    <n v="0"/>
    <m/>
  </r>
  <r>
    <x v="112"/>
    <s v="Wed"/>
    <x v="16"/>
    <x v="0"/>
    <m/>
    <m/>
    <m/>
    <n v="7.8"/>
    <n v="0"/>
    <n v="0"/>
    <m/>
  </r>
  <r>
    <x v="113"/>
    <s v="Thu"/>
    <x v="16"/>
    <x v="0"/>
    <m/>
    <m/>
    <m/>
    <n v="7.8"/>
    <n v="0"/>
    <n v="0"/>
    <m/>
  </r>
  <r>
    <x v="114"/>
    <s v="Fri"/>
    <x v="16"/>
    <x v="0"/>
    <m/>
    <m/>
    <m/>
    <n v="7.8"/>
    <n v="0"/>
    <n v="0"/>
    <m/>
  </r>
  <r>
    <x v="115"/>
    <s v="Sat"/>
    <x v="16"/>
    <x v="0"/>
    <m/>
    <m/>
    <m/>
    <n v="0"/>
    <n v="0"/>
    <n v="0"/>
    <m/>
  </r>
  <r>
    <x v="116"/>
    <s v="Sun"/>
    <x v="16"/>
    <x v="0"/>
    <m/>
    <m/>
    <m/>
    <n v="0"/>
    <n v="0"/>
    <n v="0"/>
    <m/>
  </r>
  <r>
    <x v="117"/>
    <s v="Mon"/>
    <x v="17"/>
    <x v="0"/>
    <m/>
    <m/>
    <m/>
    <n v="7.8"/>
    <n v="0"/>
    <n v="0"/>
    <m/>
  </r>
  <r>
    <x v="118"/>
    <s v="Tue"/>
    <x v="17"/>
    <x v="0"/>
    <m/>
    <m/>
    <m/>
    <n v="7.8"/>
    <n v="0"/>
    <n v="0"/>
    <m/>
  </r>
  <r>
    <x v="119"/>
    <s v="Wed"/>
    <x v="17"/>
    <x v="0"/>
    <m/>
    <m/>
    <m/>
    <n v="7.8"/>
    <n v="0"/>
    <n v="0"/>
    <m/>
  </r>
  <r>
    <x v="120"/>
    <s v="Thu"/>
    <x v="17"/>
    <x v="0"/>
    <m/>
    <m/>
    <m/>
    <n v="7.8"/>
    <n v="0"/>
    <n v="0"/>
    <m/>
  </r>
  <r>
    <x v="121"/>
    <s v="Fri"/>
    <x v="17"/>
    <x v="0"/>
    <m/>
    <m/>
    <m/>
    <n v="7.8"/>
    <n v="0"/>
    <n v="0"/>
    <m/>
  </r>
  <r>
    <x v="122"/>
    <s v="Sat"/>
    <x v="17"/>
    <x v="0"/>
    <m/>
    <m/>
    <m/>
    <n v="0"/>
    <n v="0"/>
    <n v="0"/>
    <m/>
  </r>
  <r>
    <x v="123"/>
    <s v="Sun"/>
    <x v="17"/>
    <x v="0"/>
    <m/>
    <m/>
    <m/>
    <n v="0"/>
    <n v="0"/>
    <n v="0"/>
    <m/>
  </r>
  <r>
    <x v="124"/>
    <s v="Mon"/>
    <x v="18"/>
    <x v="0"/>
    <m/>
    <m/>
    <m/>
    <n v="7.8"/>
    <n v="0"/>
    <n v="0"/>
    <m/>
  </r>
  <r>
    <x v="125"/>
    <s v="Tue"/>
    <x v="18"/>
    <x v="0"/>
    <m/>
    <m/>
    <m/>
    <n v="7.8"/>
    <n v="0"/>
    <n v="0"/>
    <m/>
  </r>
  <r>
    <x v="126"/>
    <s v="Wed"/>
    <x v="18"/>
    <x v="0"/>
    <m/>
    <m/>
    <m/>
    <n v="7.8"/>
    <n v="0"/>
    <n v="0"/>
    <m/>
  </r>
  <r>
    <x v="127"/>
    <s v="Thu"/>
    <x v="18"/>
    <x v="0"/>
    <m/>
    <m/>
    <m/>
    <n v="7.8"/>
    <n v="0"/>
    <n v="0"/>
    <m/>
  </r>
  <r>
    <x v="128"/>
    <s v="Fri"/>
    <x v="18"/>
    <x v="0"/>
    <m/>
    <m/>
    <m/>
    <n v="7.8"/>
    <n v="0"/>
    <n v="0"/>
    <m/>
  </r>
  <r>
    <x v="129"/>
    <s v="Sat"/>
    <x v="18"/>
    <x v="0"/>
    <m/>
    <m/>
    <m/>
    <n v="0"/>
    <n v="0"/>
    <n v="0"/>
    <m/>
  </r>
  <r>
    <x v="130"/>
    <s v="Sun"/>
    <x v="18"/>
    <x v="0"/>
    <m/>
    <m/>
    <m/>
    <n v="0"/>
    <n v="0"/>
    <n v="0"/>
    <m/>
  </r>
  <r>
    <x v="131"/>
    <s v="Mon"/>
    <x v="19"/>
    <x v="0"/>
    <m/>
    <m/>
    <m/>
    <n v="7.8"/>
    <n v="0"/>
    <n v="0"/>
    <m/>
  </r>
  <r>
    <x v="132"/>
    <s v="Tue"/>
    <x v="19"/>
    <x v="0"/>
    <m/>
    <m/>
    <m/>
    <n v="7.8"/>
    <n v="0"/>
    <n v="0"/>
    <m/>
  </r>
  <r>
    <x v="133"/>
    <s v="Wed"/>
    <x v="19"/>
    <x v="0"/>
    <m/>
    <m/>
    <m/>
    <n v="7.8"/>
    <n v="0"/>
    <n v="0"/>
    <m/>
  </r>
  <r>
    <x v="134"/>
    <s v="Thu"/>
    <x v="19"/>
    <x v="0"/>
    <m/>
    <m/>
    <m/>
    <n v="7.8"/>
    <n v="0"/>
    <n v="0"/>
    <m/>
  </r>
  <r>
    <x v="135"/>
    <s v="Fri"/>
    <x v="19"/>
    <x v="0"/>
    <m/>
    <m/>
    <m/>
    <n v="7.8"/>
    <n v="0"/>
    <n v="0"/>
    <m/>
  </r>
  <r>
    <x v="136"/>
    <s v="Sat"/>
    <x v="19"/>
    <x v="0"/>
    <m/>
    <m/>
    <m/>
    <n v="0"/>
    <n v="0"/>
    <n v="0"/>
    <m/>
  </r>
  <r>
    <x v="137"/>
    <s v="Sun"/>
    <x v="19"/>
    <x v="0"/>
    <m/>
    <m/>
    <m/>
    <n v="0"/>
    <n v="0"/>
    <n v="0"/>
    <m/>
  </r>
  <r>
    <x v="138"/>
    <s v="Mon"/>
    <x v="20"/>
    <x v="0"/>
    <m/>
    <m/>
    <m/>
    <n v="7.8"/>
    <n v="0"/>
    <n v="0"/>
    <m/>
  </r>
  <r>
    <x v="139"/>
    <s v="Tue"/>
    <x v="20"/>
    <x v="0"/>
    <m/>
    <m/>
    <m/>
    <n v="7.8"/>
    <n v="0"/>
    <n v="0"/>
    <m/>
  </r>
  <r>
    <x v="140"/>
    <s v="Wed"/>
    <x v="20"/>
    <x v="0"/>
    <m/>
    <m/>
    <m/>
    <n v="7.8"/>
    <n v="0"/>
    <n v="0"/>
    <m/>
  </r>
  <r>
    <x v="141"/>
    <s v="Thu"/>
    <x v="20"/>
    <x v="0"/>
    <m/>
    <m/>
    <m/>
    <n v="7.8"/>
    <n v="0"/>
    <n v="0"/>
    <m/>
  </r>
  <r>
    <x v="142"/>
    <s v="Fri"/>
    <x v="20"/>
    <x v="0"/>
    <m/>
    <m/>
    <m/>
    <n v="7.8"/>
    <n v="0"/>
    <n v="0"/>
    <m/>
  </r>
  <r>
    <x v="143"/>
    <s v="Sat"/>
    <x v="20"/>
    <x v="0"/>
    <m/>
    <m/>
    <m/>
    <n v="0"/>
    <n v="0"/>
    <n v="0"/>
    <m/>
  </r>
  <r>
    <x v="144"/>
    <s v="Sun"/>
    <x v="20"/>
    <x v="0"/>
    <m/>
    <m/>
    <m/>
    <n v="0"/>
    <n v="0"/>
    <n v="0"/>
    <m/>
  </r>
  <r>
    <x v="145"/>
    <s v="Mon"/>
    <x v="21"/>
    <x v="0"/>
    <m/>
    <m/>
    <m/>
    <n v="7.8"/>
    <n v="0"/>
    <n v="0"/>
    <m/>
  </r>
  <r>
    <x v="146"/>
    <s v="Tue"/>
    <x v="21"/>
    <x v="0"/>
    <m/>
    <m/>
    <m/>
    <n v="7.8"/>
    <n v="0"/>
    <n v="0"/>
    <m/>
  </r>
  <r>
    <x v="147"/>
    <s v="Wed"/>
    <x v="21"/>
    <x v="0"/>
    <m/>
    <m/>
    <m/>
    <n v="7.8"/>
    <n v="0"/>
    <n v="0"/>
    <m/>
  </r>
  <r>
    <x v="148"/>
    <s v="Thu"/>
    <x v="21"/>
    <x v="0"/>
    <m/>
    <m/>
    <m/>
    <n v="7.8"/>
    <n v="0"/>
    <n v="0"/>
    <m/>
  </r>
  <r>
    <x v="149"/>
    <s v="Fri"/>
    <x v="21"/>
    <x v="0"/>
    <m/>
    <m/>
    <m/>
    <n v="7.8"/>
    <n v="0"/>
    <n v="0"/>
    <m/>
  </r>
  <r>
    <x v="150"/>
    <s v="Sat"/>
    <x v="21"/>
    <x v="0"/>
    <m/>
    <m/>
    <m/>
    <n v="0"/>
    <n v="0"/>
    <n v="0"/>
    <m/>
  </r>
  <r>
    <x v="151"/>
    <s v="Sun"/>
    <x v="21"/>
    <x v="0"/>
    <m/>
    <m/>
    <m/>
    <n v="0"/>
    <n v="0"/>
    <n v="0"/>
    <m/>
  </r>
  <r>
    <x v="152"/>
    <s v="Mon"/>
    <x v="22"/>
    <x v="0"/>
    <m/>
    <m/>
    <m/>
    <n v="7.8"/>
    <n v="0"/>
    <n v="0"/>
    <m/>
  </r>
  <r>
    <x v="153"/>
    <s v="Tue"/>
    <x v="22"/>
    <x v="0"/>
    <m/>
    <m/>
    <m/>
    <n v="7.8"/>
    <n v="0"/>
    <n v="0"/>
    <m/>
  </r>
  <r>
    <x v="154"/>
    <s v="Wed"/>
    <x v="22"/>
    <x v="0"/>
    <m/>
    <m/>
    <m/>
    <n v="7.8"/>
    <n v="0"/>
    <n v="0"/>
    <m/>
  </r>
  <r>
    <x v="155"/>
    <s v="Thu"/>
    <x v="22"/>
    <x v="0"/>
    <m/>
    <m/>
    <m/>
    <n v="7.8"/>
    <n v="0"/>
    <n v="0"/>
    <m/>
  </r>
  <r>
    <x v="156"/>
    <s v="Fri"/>
    <x v="22"/>
    <x v="0"/>
    <m/>
    <m/>
    <m/>
    <n v="7.8"/>
    <n v="0"/>
    <n v="0"/>
    <m/>
  </r>
  <r>
    <x v="157"/>
    <s v="Sat"/>
    <x v="22"/>
    <x v="0"/>
    <m/>
    <m/>
    <m/>
    <n v="0"/>
    <n v="0"/>
    <n v="0"/>
    <m/>
  </r>
  <r>
    <x v="158"/>
    <s v="Sun"/>
    <x v="22"/>
    <x v="0"/>
    <m/>
    <m/>
    <m/>
    <n v="0"/>
    <n v="0"/>
    <n v="0"/>
    <m/>
  </r>
  <r>
    <x v="159"/>
    <s v="Mon"/>
    <x v="23"/>
    <x v="0"/>
    <m/>
    <m/>
    <m/>
    <n v="7.8"/>
    <n v="0"/>
    <n v="0"/>
    <m/>
  </r>
  <r>
    <x v="160"/>
    <s v="Tue"/>
    <x v="23"/>
    <x v="0"/>
    <m/>
    <m/>
    <m/>
    <n v="7.8"/>
    <n v="0"/>
    <n v="0"/>
    <m/>
  </r>
  <r>
    <x v="161"/>
    <s v="Wed"/>
    <x v="23"/>
    <x v="0"/>
    <m/>
    <m/>
    <m/>
    <n v="7.8"/>
    <n v="0"/>
    <n v="0"/>
    <m/>
  </r>
  <r>
    <x v="162"/>
    <s v="Thu"/>
    <x v="23"/>
    <x v="0"/>
    <m/>
    <m/>
    <m/>
    <n v="7.8"/>
    <n v="0"/>
    <n v="0"/>
    <m/>
  </r>
  <r>
    <x v="163"/>
    <s v="Fri"/>
    <x v="23"/>
    <x v="0"/>
    <m/>
    <m/>
    <m/>
    <n v="7.8"/>
    <n v="0"/>
    <n v="0"/>
    <m/>
  </r>
  <r>
    <x v="164"/>
    <s v="Sat"/>
    <x v="23"/>
    <x v="0"/>
    <m/>
    <m/>
    <m/>
    <n v="0"/>
    <n v="0"/>
    <n v="0"/>
    <m/>
  </r>
  <r>
    <x v="165"/>
    <s v="Sun"/>
    <x v="23"/>
    <x v="0"/>
    <m/>
    <m/>
    <m/>
    <n v="0"/>
    <n v="0"/>
    <n v="0"/>
    <m/>
  </r>
  <r>
    <x v="166"/>
    <s v="Mon"/>
    <x v="24"/>
    <x v="0"/>
    <m/>
    <m/>
    <m/>
    <n v="7.8"/>
    <n v="0"/>
    <n v="0"/>
    <m/>
  </r>
  <r>
    <x v="167"/>
    <s v="Tue"/>
    <x v="24"/>
    <x v="0"/>
    <m/>
    <m/>
    <m/>
    <n v="7.8"/>
    <n v="0"/>
    <n v="0"/>
    <m/>
  </r>
  <r>
    <x v="168"/>
    <s v="Wed"/>
    <x v="24"/>
    <x v="0"/>
    <m/>
    <m/>
    <m/>
    <n v="7.8"/>
    <n v="0"/>
    <n v="0"/>
    <m/>
  </r>
  <r>
    <x v="169"/>
    <s v="Thu"/>
    <x v="24"/>
    <x v="0"/>
    <m/>
    <m/>
    <m/>
    <n v="7.8"/>
    <n v="0"/>
    <n v="0"/>
    <m/>
  </r>
  <r>
    <x v="170"/>
    <s v="Fri"/>
    <x v="24"/>
    <x v="0"/>
    <m/>
    <m/>
    <m/>
    <n v="7.8"/>
    <n v="0"/>
    <n v="0"/>
    <m/>
  </r>
  <r>
    <x v="171"/>
    <s v="Sat"/>
    <x v="24"/>
    <x v="0"/>
    <m/>
    <m/>
    <m/>
    <n v="0"/>
    <n v="0"/>
    <n v="0"/>
    <m/>
  </r>
  <r>
    <x v="172"/>
    <s v="Sun"/>
    <x v="24"/>
    <x v="0"/>
    <m/>
    <m/>
    <m/>
    <n v="0"/>
    <n v="0"/>
    <n v="0"/>
    <m/>
  </r>
  <r>
    <x v="173"/>
    <s v="Mon"/>
    <x v="25"/>
    <x v="0"/>
    <m/>
    <m/>
    <m/>
    <n v="7.8"/>
    <n v="0"/>
    <n v="0"/>
    <m/>
  </r>
  <r>
    <x v="174"/>
    <s v="Tue"/>
    <x v="25"/>
    <x v="0"/>
    <m/>
    <m/>
    <m/>
    <n v="7.8"/>
    <n v="0"/>
    <n v="0"/>
    <m/>
  </r>
  <r>
    <x v="175"/>
    <s v="Wed"/>
    <x v="25"/>
    <x v="0"/>
    <m/>
    <m/>
    <m/>
    <n v="7.8"/>
    <n v="0"/>
    <n v="0"/>
    <m/>
  </r>
  <r>
    <x v="176"/>
    <s v="Thu"/>
    <x v="25"/>
    <x v="0"/>
    <m/>
    <m/>
    <m/>
    <n v="7.8"/>
    <n v="0"/>
    <n v="0"/>
    <m/>
  </r>
  <r>
    <x v="177"/>
    <s v="Fri"/>
    <x v="25"/>
    <x v="0"/>
    <m/>
    <m/>
    <m/>
    <n v="7.8"/>
    <n v="0"/>
    <n v="0"/>
    <m/>
  </r>
  <r>
    <x v="178"/>
    <s v="Sat"/>
    <x v="25"/>
    <x v="0"/>
    <m/>
    <m/>
    <m/>
    <n v="0"/>
    <n v="0"/>
    <n v="0"/>
    <m/>
  </r>
  <r>
    <x v="179"/>
    <s v="Sun"/>
    <x v="25"/>
    <x v="0"/>
    <m/>
    <m/>
    <m/>
    <n v="0"/>
    <n v="0"/>
    <n v="0"/>
    <m/>
  </r>
  <r>
    <x v="180"/>
    <s v="Mon"/>
    <x v="26"/>
    <x v="0"/>
    <m/>
    <m/>
    <m/>
    <n v="7.8"/>
    <n v="0"/>
    <n v="0"/>
    <m/>
  </r>
  <r>
    <x v="181"/>
    <s v="Tue"/>
    <x v="26"/>
    <x v="0"/>
    <m/>
    <m/>
    <m/>
    <n v="7.8"/>
    <n v="0"/>
    <n v="0"/>
    <m/>
  </r>
  <r>
    <x v="182"/>
    <s v="Wed"/>
    <x v="26"/>
    <x v="0"/>
    <m/>
    <m/>
    <m/>
    <n v="7.8"/>
    <n v="0"/>
    <n v="0"/>
    <m/>
  </r>
  <r>
    <x v="183"/>
    <s v="Thu"/>
    <x v="26"/>
    <x v="0"/>
    <m/>
    <m/>
    <m/>
    <n v="7.8"/>
    <n v="0"/>
    <n v="0"/>
    <m/>
  </r>
  <r>
    <x v="184"/>
    <s v="Fri"/>
    <x v="26"/>
    <x v="0"/>
    <m/>
    <m/>
    <m/>
    <n v="7.8"/>
    <n v="0"/>
    <n v="0"/>
    <m/>
  </r>
  <r>
    <x v="185"/>
    <s v="Sat"/>
    <x v="26"/>
    <x v="0"/>
    <m/>
    <m/>
    <m/>
    <n v="0"/>
    <n v="0"/>
    <n v="0"/>
    <m/>
  </r>
  <r>
    <x v="186"/>
    <s v="Sun"/>
    <x v="26"/>
    <x v="0"/>
    <m/>
    <m/>
    <m/>
    <n v="0"/>
    <n v="0"/>
    <n v="0"/>
    <m/>
  </r>
  <r>
    <x v="187"/>
    <s v="Mon"/>
    <x v="27"/>
    <x v="0"/>
    <m/>
    <m/>
    <m/>
    <n v="7.8"/>
    <n v="0"/>
    <n v="0"/>
    <m/>
  </r>
  <r>
    <x v="188"/>
    <s v="Tue"/>
    <x v="27"/>
    <x v="0"/>
    <m/>
    <m/>
    <m/>
    <n v="7.8"/>
    <n v="0"/>
    <n v="0"/>
    <m/>
  </r>
  <r>
    <x v="189"/>
    <s v="Wed"/>
    <x v="27"/>
    <x v="0"/>
    <m/>
    <m/>
    <m/>
    <n v="7.8"/>
    <n v="0"/>
    <n v="0"/>
    <m/>
  </r>
  <r>
    <x v="190"/>
    <s v="Thu"/>
    <x v="27"/>
    <x v="0"/>
    <m/>
    <m/>
    <m/>
    <n v="7.8"/>
    <n v="0"/>
    <n v="0"/>
    <m/>
  </r>
  <r>
    <x v="191"/>
    <s v="Fri"/>
    <x v="27"/>
    <x v="0"/>
    <m/>
    <m/>
    <m/>
    <n v="7.8"/>
    <n v="0"/>
    <n v="0"/>
    <m/>
  </r>
  <r>
    <x v="192"/>
    <s v="Sat"/>
    <x v="27"/>
    <x v="0"/>
    <m/>
    <m/>
    <m/>
    <n v="0"/>
    <n v="0"/>
    <n v="0"/>
    <m/>
  </r>
  <r>
    <x v="193"/>
    <s v="Sun"/>
    <x v="27"/>
    <x v="0"/>
    <m/>
    <m/>
    <m/>
    <n v="0"/>
    <n v="0"/>
    <n v="0"/>
    <m/>
  </r>
  <r>
    <x v="194"/>
    <s v="Mon"/>
    <x v="28"/>
    <x v="0"/>
    <m/>
    <m/>
    <m/>
    <n v="7.8"/>
    <n v="0"/>
    <n v="0"/>
    <m/>
  </r>
  <r>
    <x v="195"/>
    <s v="Tue"/>
    <x v="28"/>
    <x v="0"/>
    <m/>
    <m/>
    <m/>
    <n v="7.8"/>
    <n v="0"/>
    <n v="0"/>
    <m/>
  </r>
  <r>
    <x v="196"/>
    <s v="Wed"/>
    <x v="28"/>
    <x v="0"/>
    <m/>
    <m/>
    <m/>
    <n v="7.8"/>
    <n v="0"/>
    <n v="0"/>
    <m/>
  </r>
  <r>
    <x v="197"/>
    <s v="Thu"/>
    <x v="28"/>
    <x v="0"/>
    <m/>
    <m/>
    <m/>
    <n v="7.8"/>
    <n v="0"/>
    <n v="0"/>
    <m/>
  </r>
  <r>
    <x v="198"/>
    <s v="Fri"/>
    <x v="28"/>
    <x v="0"/>
    <m/>
    <m/>
    <m/>
    <n v="7.8"/>
    <n v="0"/>
    <n v="0"/>
    <m/>
  </r>
  <r>
    <x v="199"/>
    <s v="Sat"/>
    <x v="28"/>
    <x v="0"/>
    <m/>
    <m/>
    <m/>
    <n v="0"/>
    <n v="0"/>
    <n v="0"/>
    <m/>
  </r>
  <r>
    <x v="200"/>
    <s v="Sun"/>
    <x v="28"/>
    <x v="0"/>
    <m/>
    <m/>
    <m/>
    <n v="0"/>
    <n v="0"/>
    <n v="0"/>
    <m/>
  </r>
  <r>
    <x v="201"/>
    <s v="Mon"/>
    <x v="29"/>
    <x v="0"/>
    <m/>
    <m/>
    <m/>
    <n v="7.8"/>
    <n v="0"/>
    <n v="0"/>
    <m/>
  </r>
  <r>
    <x v="202"/>
    <s v="Tue"/>
    <x v="29"/>
    <x v="0"/>
    <m/>
    <m/>
    <m/>
    <n v="7.8"/>
    <n v="0"/>
    <n v="0"/>
    <m/>
  </r>
  <r>
    <x v="203"/>
    <s v="Wed"/>
    <x v="29"/>
    <x v="0"/>
    <m/>
    <m/>
    <m/>
    <n v="7.8"/>
    <n v="0"/>
    <n v="0"/>
    <m/>
  </r>
  <r>
    <x v="204"/>
    <s v="Thu"/>
    <x v="29"/>
    <x v="0"/>
    <m/>
    <m/>
    <m/>
    <n v="7.8"/>
    <n v="0"/>
    <n v="0"/>
    <m/>
  </r>
  <r>
    <x v="205"/>
    <s v="Fri"/>
    <x v="29"/>
    <x v="0"/>
    <m/>
    <m/>
    <m/>
    <n v="7.8"/>
    <n v="0"/>
    <n v="0"/>
    <m/>
  </r>
  <r>
    <x v="206"/>
    <s v="Sat"/>
    <x v="29"/>
    <x v="0"/>
    <m/>
    <m/>
    <m/>
    <n v="0"/>
    <n v="0"/>
    <n v="0"/>
    <m/>
  </r>
  <r>
    <x v="207"/>
    <s v="Sun"/>
    <x v="29"/>
    <x v="0"/>
    <m/>
    <m/>
    <m/>
    <n v="0"/>
    <n v="0"/>
    <n v="0"/>
    <m/>
  </r>
  <r>
    <x v="208"/>
    <s v="Mon"/>
    <x v="30"/>
    <x v="0"/>
    <m/>
    <m/>
    <m/>
    <n v="7.8"/>
    <n v="0"/>
    <n v="0"/>
    <m/>
  </r>
  <r>
    <x v="209"/>
    <s v="Tue"/>
    <x v="30"/>
    <x v="0"/>
    <m/>
    <m/>
    <m/>
    <n v="7.8"/>
    <n v="0"/>
    <n v="0"/>
    <m/>
  </r>
  <r>
    <x v="210"/>
    <s v="Wed"/>
    <x v="30"/>
    <x v="0"/>
    <m/>
    <m/>
    <m/>
    <n v="7.8"/>
    <n v="0"/>
    <n v="0"/>
    <m/>
  </r>
  <r>
    <x v="211"/>
    <s v="Thu"/>
    <x v="30"/>
    <x v="0"/>
    <m/>
    <m/>
    <m/>
    <n v="7.8"/>
    <n v="0"/>
    <n v="0"/>
    <m/>
  </r>
  <r>
    <x v="212"/>
    <s v="Fri"/>
    <x v="30"/>
    <x v="0"/>
    <m/>
    <m/>
    <m/>
    <n v="7.8"/>
    <n v="0"/>
    <n v="0"/>
    <m/>
  </r>
  <r>
    <x v="213"/>
    <s v="Sat"/>
    <x v="30"/>
    <x v="0"/>
    <m/>
    <m/>
    <m/>
    <n v="0"/>
    <n v="0"/>
    <n v="0"/>
    <m/>
  </r>
  <r>
    <x v="214"/>
    <s v="Sun"/>
    <x v="30"/>
    <x v="0"/>
    <m/>
    <m/>
    <m/>
    <n v="0"/>
    <n v="0"/>
    <n v="0"/>
    <m/>
  </r>
  <r>
    <x v="215"/>
    <s v="Mon"/>
    <x v="31"/>
    <x v="0"/>
    <m/>
    <m/>
    <m/>
    <n v="7.8"/>
    <n v="0"/>
    <n v="0"/>
    <m/>
  </r>
  <r>
    <x v="216"/>
    <s v="Tue"/>
    <x v="31"/>
    <x v="0"/>
    <m/>
    <m/>
    <m/>
    <n v="7.8"/>
    <n v="0"/>
    <n v="0"/>
    <m/>
  </r>
  <r>
    <x v="217"/>
    <s v="Wed"/>
    <x v="31"/>
    <x v="0"/>
    <m/>
    <m/>
    <m/>
    <n v="7.8"/>
    <n v="0"/>
    <n v="0"/>
    <m/>
  </r>
  <r>
    <x v="218"/>
    <s v="Thu"/>
    <x v="31"/>
    <x v="0"/>
    <m/>
    <m/>
    <m/>
    <n v="7.8"/>
    <n v="0"/>
    <n v="0"/>
    <m/>
  </r>
  <r>
    <x v="219"/>
    <s v="Fri"/>
    <x v="31"/>
    <x v="0"/>
    <m/>
    <m/>
    <m/>
    <n v="7.8"/>
    <n v="0"/>
    <n v="0"/>
    <m/>
  </r>
  <r>
    <x v="220"/>
    <s v="Sat"/>
    <x v="31"/>
    <x v="0"/>
    <m/>
    <m/>
    <m/>
    <n v="0"/>
    <n v="0"/>
    <n v="0"/>
    <m/>
  </r>
  <r>
    <x v="221"/>
    <s v="Sun"/>
    <x v="31"/>
    <x v="0"/>
    <m/>
    <m/>
    <m/>
    <n v="0"/>
    <n v="0"/>
    <n v="0"/>
    <m/>
  </r>
  <r>
    <x v="222"/>
    <s v="Mon"/>
    <x v="32"/>
    <x v="0"/>
    <m/>
    <m/>
    <m/>
    <n v="7.8"/>
    <n v="0"/>
    <n v="0"/>
    <m/>
  </r>
  <r>
    <x v="223"/>
    <s v="Tue"/>
    <x v="32"/>
    <x v="0"/>
    <m/>
    <m/>
    <m/>
    <n v="7.8"/>
    <n v="0"/>
    <n v="0"/>
    <m/>
  </r>
  <r>
    <x v="224"/>
    <s v="Wed"/>
    <x v="32"/>
    <x v="0"/>
    <m/>
    <m/>
    <m/>
    <n v="7.8"/>
    <n v="0"/>
    <n v="0"/>
    <m/>
  </r>
  <r>
    <x v="225"/>
    <s v="Thu"/>
    <x v="32"/>
    <x v="0"/>
    <m/>
    <m/>
    <m/>
    <n v="7.8"/>
    <n v="0"/>
    <n v="0"/>
    <m/>
  </r>
  <r>
    <x v="226"/>
    <s v="Fri"/>
    <x v="32"/>
    <x v="0"/>
    <m/>
    <m/>
    <m/>
    <n v="7.8"/>
    <n v="0"/>
    <n v="0"/>
    <m/>
  </r>
  <r>
    <x v="227"/>
    <s v="Sat"/>
    <x v="32"/>
    <x v="0"/>
    <m/>
    <m/>
    <m/>
    <n v="0"/>
    <n v="0"/>
    <n v="0"/>
    <m/>
  </r>
  <r>
    <x v="228"/>
    <s v="Sun"/>
    <x v="32"/>
    <x v="0"/>
    <m/>
    <m/>
    <m/>
    <n v="0"/>
    <n v="0"/>
    <n v="0"/>
    <m/>
  </r>
  <r>
    <x v="229"/>
    <s v="Mon"/>
    <x v="33"/>
    <x v="0"/>
    <m/>
    <m/>
    <m/>
    <n v="7.8"/>
    <n v="0"/>
    <n v="0"/>
    <m/>
  </r>
  <r>
    <x v="230"/>
    <s v="Tue"/>
    <x v="33"/>
    <x v="0"/>
    <m/>
    <m/>
    <m/>
    <n v="7.8"/>
    <n v="0"/>
    <n v="0"/>
    <m/>
  </r>
  <r>
    <x v="231"/>
    <s v="Wed"/>
    <x v="33"/>
    <x v="0"/>
    <m/>
    <m/>
    <m/>
    <n v="7.8"/>
    <n v="0"/>
    <n v="0"/>
    <m/>
  </r>
  <r>
    <x v="232"/>
    <s v="Thu"/>
    <x v="33"/>
    <x v="0"/>
    <m/>
    <m/>
    <m/>
    <n v="7.8"/>
    <n v="0"/>
    <n v="0"/>
    <m/>
  </r>
  <r>
    <x v="233"/>
    <s v="Fri"/>
    <x v="33"/>
    <x v="0"/>
    <m/>
    <m/>
    <m/>
    <n v="7.8"/>
    <n v="0"/>
    <n v="0"/>
    <m/>
  </r>
  <r>
    <x v="234"/>
    <s v="Sat"/>
    <x v="33"/>
    <x v="0"/>
    <m/>
    <m/>
    <m/>
    <n v="0"/>
    <n v="0"/>
    <n v="0"/>
    <m/>
  </r>
  <r>
    <x v="235"/>
    <s v="Sun"/>
    <x v="33"/>
    <x v="0"/>
    <m/>
    <m/>
    <m/>
    <n v="0"/>
    <n v="0"/>
    <n v="0"/>
    <m/>
  </r>
  <r>
    <x v="236"/>
    <s v="Mon"/>
    <x v="34"/>
    <x v="0"/>
    <m/>
    <m/>
    <m/>
    <n v="7.8"/>
    <n v="0"/>
    <n v="0"/>
    <m/>
  </r>
  <r>
    <x v="237"/>
    <s v="Tue"/>
    <x v="34"/>
    <x v="0"/>
    <m/>
    <m/>
    <m/>
    <n v="7.8"/>
    <n v="0"/>
    <n v="0"/>
    <m/>
  </r>
  <r>
    <x v="238"/>
    <s v="Wed"/>
    <x v="34"/>
    <x v="0"/>
    <m/>
    <m/>
    <m/>
    <n v="7.8"/>
    <n v="0"/>
    <n v="0"/>
    <m/>
  </r>
  <r>
    <x v="239"/>
    <s v="Thu"/>
    <x v="34"/>
    <x v="0"/>
    <m/>
    <m/>
    <m/>
    <n v="7.8"/>
    <n v="0"/>
    <n v="0"/>
    <m/>
  </r>
  <r>
    <x v="240"/>
    <s v="Fri"/>
    <x v="34"/>
    <x v="0"/>
    <m/>
    <m/>
    <m/>
    <n v="7.8"/>
    <n v="0"/>
    <n v="0"/>
    <m/>
  </r>
  <r>
    <x v="241"/>
    <s v="Sat"/>
    <x v="34"/>
    <x v="0"/>
    <m/>
    <m/>
    <m/>
    <n v="0"/>
    <n v="0"/>
    <n v="0"/>
    <m/>
  </r>
  <r>
    <x v="242"/>
    <s v="Sun"/>
    <x v="34"/>
    <x v="0"/>
    <m/>
    <m/>
    <m/>
    <n v="0"/>
    <n v="0"/>
    <n v="0"/>
    <m/>
  </r>
  <r>
    <x v="243"/>
    <s v="Mon"/>
    <x v="35"/>
    <x v="0"/>
    <m/>
    <m/>
    <m/>
    <n v="7.8"/>
    <n v="0"/>
    <n v="0"/>
    <m/>
  </r>
  <r>
    <x v="244"/>
    <s v="Tue"/>
    <x v="35"/>
    <x v="0"/>
    <m/>
    <m/>
    <m/>
    <n v="7.8"/>
    <n v="0"/>
    <n v="0"/>
    <m/>
  </r>
  <r>
    <x v="245"/>
    <s v="Wed"/>
    <x v="35"/>
    <x v="0"/>
    <m/>
    <m/>
    <m/>
    <n v="7.8"/>
    <n v="0"/>
    <n v="0"/>
    <m/>
  </r>
  <r>
    <x v="246"/>
    <s v="Thu"/>
    <x v="35"/>
    <x v="0"/>
    <m/>
    <m/>
    <m/>
    <n v="7.8"/>
    <n v="0"/>
    <n v="0"/>
    <m/>
  </r>
  <r>
    <x v="247"/>
    <s v="Fri"/>
    <x v="35"/>
    <x v="0"/>
    <m/>
    <m/>
    <m/>
    <n v="7.8"/>
    <n v="0"/>
    <n v="0"/>
    <m/>
  </r>
  <r>
    <x v="248"/>
    <s v="Sat"/>
    <x v="35"/>
    <x v="0"/>
    <m/>
    <m/>
    <m/>
    <n v="0"/>
    <n v="0"/>
    <n v="0"/>
    <m/>
  </r>
  <r>
    <x v="249"/>
    <s v="Sun"/>
    <x v="35"/>
    <x v="0"/>
    <m/>
    <m/>
    <m/>
    <n v="0"/>
    <n v="0"/>
    <n v="0"/>
    <m/>
  </r>
  <r>
    <x v="250"/>
    <s v="Mon"/>
    <x v="36"/>
    <x v="0"/>
    <m/>
    <m/>
    <m/>
    <n v="7.8"/>
    <n v="0"/>
    <n v="0"/>
    <m/>
  </r>
  <r>
    <x v="251"/>
    <s v="Tue"/>
    <x v="36"/>
    <x v="0"/>
    <m/>
    <m/>
    <m/>
    <n v="7.8"/>
    <n v="0"/>
    <n v="0"/>
    <m/>
  </r>
  <r>
    <x v="252"/>
    <s v="Wed"/>
    <x v="36"/>
    <x v="0"/>
    <m/>
    <m/>
    <m/>
    <n v="7.8"/>
    <n v="0"/>
    <n v="0"/>
    <m/>
  </r>
  <r>
    <x v="253"/>
    <s v="Thu"/>
    <x v="36"/>
    <x v="0"/>
    <m/>
    <m/>
    <m/>
    <n v="7.8"/>
    <n v="0"/>
    <n v="0"/>
    <m/>
  </r>
  <r>
    <x v="254"/>
    <s v="Fri"/>
    <x v="36"/>
    <x v="0"/>
    <m/>
    <m/>
    <m/>
    <n v="7.8"/>
    <n v="0"/>
    <n v="0"/>
    <m/>
  </r>
  <r>
    <x v="255"/>
    <s v="Sat"/>
    <x v="36"/>
    <x v="0"/>
    <m/>
    <m/>
    <m/>
    <n v="0"/>
    <n v="0"/>
    <n v="0"/>
    <m/>
  </r>
  <r>
    <x v="256"/>
    <s v="Sun"/>
    <x v="36"/>
    <x v="0"/>
    <m/>
    <m/>
    <m/>
    <n v="0"/>
    <n v="0"/>
    <n v="0"/>
    <m/>
  </r>
  <r>
    <x v="257"/>
    <s v="Mon"/>
    <x v="37"/>
    <x v="0"/>
    <m/>
    <m/>
    <m/>
    <n v="7.8"/>
    <n v="0"/>
    <n v="0"/>
    <m/>
  </r>
  <r>
    <x v="258"/>
    <s v="Tue"/>
    <x v="37"/>
    <x v="0"/>
    <m/>
    <m/>
    <m/>
    <n v="7.8"/>
    <n v="0"/>
    <n v="0"/>
    <m/>
  </r>
  <r>
    <x v="259"/>
    <s v="Wed"/>
    <x v="37"/>
    <x v="0"/>
    <m/>
    <m/>
    <m/>
    <n v="7.8"/>
    <n v="0"/>
    <n v="0"/>
    <m/>
  </r>
  <r>
    <x v="260"/>
    <s v="Thu"/>
    <x v="37"/>
    <x v="0"/>
    <m/>
    <m/>
    <m/>
    <n v="7.8"/>
    <n v="0"/>
    <n v="0"/>
    <m/>
  </r>
  <r>
    <x v="261"/>
    <s v="Fri"/>
    <x v="37"/>
    <x v="0"/>
    <m/>
    <m/>
    <m/>
    <n v="7.8"/>
    <n v="0"/>
    <n v="0"/>
    <m/>
  </r>
  <r>
    <x v="262"/>
    <s v="Sat"/>
    <x v="37"/>
    <x v="0"/>
    <m/>
    <m/>
    <m/>
    <n v="0"/>
    <n v="0"/>
    <n v="0"/>
    <m/>
  </r>
  <r>
    <x v="263"/>
    <s v="Sun"/>
    <x v="37"/>
    <x v="0"/>
    <m/>
    <m/>
    <m/>
    <n v="0"/>
    <n v="0"/>
    <n v="0"/>
    <m/>
  </r>
  <r>
    <x v="264"/>
    <s v="Mon"/>
    <x v="38"/>
    <x v="0"/>
    <m/>
    <m/>
    <m/>
    <n v="7.8"/>
    <n v="0"/>
    <n v="0"/>
    <m/>
  </r>
  <r>
    <x v="265"/>
    <s v="Tue"/>
    <x v="38"/>
    <x v="0"/>
    <m/>
    <m/>
    <m/>
    <n v="7.8"/>
    <n v="0"/>
    <n v="0"/>
    <m/>
  </r>
  <r>
    <x v="266"/>
    <s v="Wed"/>
    <x v="38"/>
    <x v="0"/>
    <m/>
    <m/>
    <m/>
    <n v="7.8"/>
    <n v="0"/>
    <n v="0"/>
    <m/>
  </r>
  <r>
    <x v="267"/>
    <s v="Thu"/>
    <x v="38"/>
    <x v="0"/>
    <m/>
    <m/>
    <m/>
    <n v="7.8"/>
    <n v="0"/>
    <n v="0"/>
    <m/>
  </r>
  <r>
    <x v="268"/>
    <s v="Fri"/>
    <x v="38"/>
    <x v="0"/>
    <m/>
    <m/>
    <m/>
    <n v="7.8"/>
    <n v="0"/>
    <n v="0"/>
    <m/>
  </r>
  <r>
    <x v="269"/>
    <s v="Sat"/>
    <x v="38"/>
    <x v="0"/>
    <m/>
    <m/>
    <m/>
    <n v="0"/>
    <n v="0"/>
    <n v="0"/>
    <m/>
  </r>
  <r>
    <x v="270"/>
    <s v="Sun"/>
    <x v="38"/>
    <x v="0"/>
    <m/>
    <m/>
    <m/>
    <n v="0"/>
    <n v="0"/>
    <n v="0"/>
    <m/>
  </r>
  <r>
    <x v="271"/>
    <s v="Mon"/>
    <x v="39"/>
    <x v="0"/>
    <m/>
    <m/>
    <m/>
    <n v="7.8"/>
    <n v="0"/>
    <n v="0"/>
    <m/>
  </r>
  <r>
    <x v="272"/>
    <s v="Tue"/>
    <x v="39"/>
    <x v="0"/>
    <m/>
    <m/>
    <m/>
    <n v="7.8"/>
    <n v="0"/>
    <n v="0"/>
    <m/>
  </r>
  <r>
    <x v="273"/>
    <s v="Wed"/>
    <x v="39"/>
    <x v="0"/>
    <m/>
    <m/>
    <m/>
    <n v="7.8"/>
    <n v="0"/>
    <n v="0"/>
    <m/>
  </r>
  <r>
    <x v="274"/>
    <s v="Thu"/>
    <x v="39"/>
    <x v="0"/>
    <m/>
    <m/>
    <m/>
    <n v="7.8"/>
    <n v="0"/>
    <n v="0"/>
    <m/>
  </r>
  <r>
    <x v="275"/>
    <s v="Fri"/>
    <x v="39"/>
    <x v="0"/>
    <m/>
    <m/>
    <m/>
    <n v="7.8"/>
    <n v="0"/>
    <n v="0"/>
    <m/>
  </r>
  <r>
    <x v="276"/>
    <s v="Sat"/>
    <x v="39"/>
    <x v="0"/>
    <m/>
    <m/>
    <m/>
    <n v="0"/>
    <n v="0"/>
    <n v="0"/>
    <m/>
  </r>
  <r>
    <x v="277"/>
    <s v="Sun"/>
    <x v="39"/>
    <x v="0"/>
    <m/>
    <m/>
    <m/>
    <n v="0"/>
    <n v="0"/>
    <n v="0"/>
    <m/>
  </r>
  <r>
    <x v="278"/>
    <s v="Mon"/>
    <x v="40"/>
    <x v="0"/>
    <m/>
    <m/>
    <m/>
    <n v="7.8"/>
    <n v="0"/>
    <n v="0"/>
    <m/>
  </r>
  <r>
    <x v="279"/>
    <s v="Tue"/>
    <x v="40"/>
    <x v="0"/>
    <m/>
    <m/>
    <m/>
    <n v="7.8"/>
    <n v="0"/>
    <n v="0"/>
    <m/>
  </r>
  <r>
    <x v="280"/>
    <s v="Wed"/>
    <x v="40"/>
    <x v="0"/>
    <m/>
    <m/>
    <m/>
    <n v="7.8"/>
    <n v="0"/>
    <n v="0"/>
    <m/>
  </r>
  <r>
    <x v="281"/>
    <s v="Thu"/>
    <x v="40"/>
    <x v="0"/>
    <m/>
    <m/>
    <m/>
    <n v="7.8"/>
    <n v="0"/>
    <n v="0"/>
    <m/>
  </r>
  <r>
    <x v="282"/>
    <s v="Fri"/>
    <x v="40"/>
    <x v="0"/>
    <m/>
    <m/>
    <m/>
    <n v="7.8"/>
    <n v="0"/>
    <n v="0"/>
    <m/>
  </r>
  <r>
    <x v="283"/>
    <s v="Sat"/>
    <x v="40"/>
    <x v="0"/>
    <m/>
    <m/>
    <m/>
    <n v="0"/>
    <n v="0"/>
    <n v="0"/>
    <m/>
  </r>
  <r>
    <x v="284"/>
    <s v="Sun"/>
    <x v="40"/>
    <x v="0"/>
    <m/>
    <m/>
    <m/>
    <n v="0"/>
    <n v="0"/>
    <n v="0"/>
    <m/>
  </r>
  <r>
    <x v="285"/>
    <s v="Mon"/>
    <x v="41"/>
    <x v="0"/>
    <m/>
    <m/>
    <m/>
    <n v="7.8"/>
    <n v="0"/>
    <n v="0"/>
    <m/>
  </r>
  <r>
    <x v="286"/>
    <s v="Tue"/>
    <x v="41"/>
    <x v="0"/>
    <m/>
    <m/>
    <m/>
    <n v="7.8"/>
    <n v="0"/>
    <n v="0"/>
    <m/>
  </r>
  <r>
    <x v="287"/>
    <s v="Wed"/>
    <x v="41"/>
    <x v="0"/>
    <m/>
    <m/>
    <m/>
    <n v="7.8"/>
    <n v="0"/>
    <n v="0"/>
    <m/>
  </r>
  <r>
    <x v="288"/>
    <s v="Thu"/>
    <x v="41"/>
    <x v="0"/>
    <m/>
    <m/>
    <m/>
    <n v="7.8"/>
    <n v="0"/>
    <n v="0"/>
    <m/>
  </r>
  <r>
    <x v="289"/>
    <s v="Fri"/>
    <x v="41"/>
    <x v="0"/>
    <m/>
    <m/>
    <m/>
    <n v="7.8"/>
    <n v="0"/>
    <n v="0"/>
    <m/>
  </r>
  <r>
    <x v="290"/>
    <s v="Sat"/>
    <x v="41"/>
    <x v="0"/>
    <m/>
    <m/>
    <m/>
    <n v="0"/>
    <n v="0"/>
    <n v="0"/>
    <m/>
  </r>
  <r>
    <x v="291"/>
    <s v="Sun"/>
    <x v="41"/>
    <x v="0"/>
    <m/>
    <m/>
    <m/>
    <n v="0"/>
    <n v="0"/>
    <n v="0"/>
    <m/>
  </r>
  <r>
    <x v="292"/>
    <s v="Mon"/>
    <x v="42"/>
    <x v="0"/>
    <m/>
    <m/>
    <m/>
    <n v="7.8"/>
    <n v="0"/>
    <n v="0"/>
    <m/>
  </r>
  <r>
    <x v="293"/>
    <s v="Tue"/>
    <x v="42"/>
    <x v="0"/>
    <m/>
    <m/>
    <m/>
    <n v="7.8"/>
    <n v="0"/>
    <n v="0"/>
    <m/>
  </r>
  <r>
    <x v="294"/>
    <s v="Wed"/>
    <x v="42"/>
    <x v="0"/>
    <m/>
    <m/>
    <m/>
    <n v="7.8"/>
    <n v="0"/>
    <n v="0"/>
    <m/>
  </r>
  <r>
    <x v="295"/>
    <s v="Thu"/>
    <x v="42"/>
    <x v="0"/>
    <m/>
    <m/>
    <m/>
    <n v="7.8"/>
    <n v="0"/>
    <n v="0"/>
    <m/>
  </r>
  <r>
    <x v="296"/>
    <s v="Fri"/>
    <x v="42"/>
    <x v="0"/>
    <m/>
    <m/>
    <m/>
    <n v="7.8"/>
    <n v="0"/>
    <n v="0"/>
    <m/>
  </r>
  <r>
    <x v="297"/>
    <s v="Sat"/>
    <x v="42"/>
    <x v="0"/>
    <m/>
    <m/>
    <m/>
    <n v="0"/>
    <n v="0"/>
    <n v="0"/>
    <m/>
  </r>
  <r>
    <x v="298"/>
    <s v="Sun"/>
    <x v="42"/>
    <x v="0"/>
    <m/>
    <m/>
    <m/>
    <n v="0"/>
    <n v="0"/>
    <n v="0"/>
    <m/>
  </r>
  <r>
    <x v="299"/>
    <s v="Mon"/>
    <x v="43"/>
    <x v="0"/>
    <m/>
    <m/>
    <m/>
    <n v="7.8"/>
    <n v="0"/>
    <n v="0"/>
    <m/>
  </r>
  <r>
    <x v="300"/>
    <s v="Tue"/>
    <x v="43"/>
    <x v="0"/>
    <m/>
    <m/>
    <m/>
    <n v="7.8"/>
    <n v="0"/>
    <n v="0"/>
    <m/>
  </r>
  <r>
    <x v="301"/>
    <s v="Wed"/>
    <x v="43"/>
    <x v="0"/>
    <m/>
    <m/>
    <m/>
    <n v="7.8"/>
    <n v="0"/>
    <n v="0"/>
    <m/>
  </r>
  <r>
    <x v="302"/>
    <s v="Thu"/>
    <x v="43"/>
    <x v="0"/>
    <m/>
    <m/>
    <m/>
    <n v="7.8"/>
    <n v="0"/>
    <n v="0"/>
    <m/>
  </r>
  <r>
    <x v="303"/>
    <s v="Fri"/>
    <x v="43"/>
    <x v="0"/>
    <m/>
    <m/>
    <m/>
    <n v="7.8"/>
    <n v="0"/>
    <n v="0"/>
    <m/>
  </r>
  <r>
    <x v="304"/>
    <s v="Sat"/>
    <x v="43"/>
    <x v="0"/>
    <m/>
    <m/>
    <m/>
    <n v="0"/>
    <n v="0"/>
    <n v="0"/>
    <m/>
  </r>
  <r>
    <x v="305"/>
    <s v="Sun"/>
    <x v="43"/>
    <x v="0"/>
    <m/>
    <m/>
    <m/>
    <n v="0"/>
    <n v="0"/>
    <n v="0"/>
    <m/>
  </r>
  <r>
    <x v="306"/>
    <s v="Mon"/>
    <x v="44"/>
    <x v="0"/>
    <m/>
    <m/>
    <m/>
    <n v="7.8"/>
    <n v="0"/>
    <n v="0"/>
    <m/>
  </r>
  <r>
    <x v="307"/>
    <s v="Tue"/>
    <x v="44"/>
    <x v="0"/>
    <m/>
    <m/>
    <m/>
    <n v="7.8"/>
    <n v="0"/>
    <n v="0"/>
    <m/>
  </r>
  <r>
    <x v="308"/>
    <s v="Wed"/>
    <x v="44"/>
    <x v="0"/>
    <m/>
    <m/>
    <m/>
    <n v="7.8"/>
    <n v="0"/>
    <n v="0"/>
    <m/>
  </r>
  <r>
    <x v="309"/>
    <s v="Thu"/>
    <x v="44"/>
    <x v="0"/>
    <m/>
    <m/>
    <m/>
    <n v="7.8"/>
    <n v="0"/>
    <n v="0"/>
    <m/>
  </r>
  <r>
    <x v="310"/>
    <s v="Fri"/>
    <x v="44"/>
    <x v="0"/>
    <m/>
    <m/>
    <m/>
    <n v="7.8"/>
    <n v="0"/>
    <n v="0"/>
    <m/>
  </r>
  <r>
    <x v="311"/>
    <s v="Sat"/>
    <x v="44"/>
    <x v="0"/>
    <m/>
    <m/>
    <m/>
    <n v="0"/>
    <n v="0"/>
    <n v="0"/>
    <m/>
  </r>
  <r>
    <x v="312"/>
    <s v="Sun"/>
    <x v="44"/>
    <x v="0"/>
    <m/>
    <m/>
    <m/>
    <n v="0"/>
    <n v="0"/>
    <n v="0"/>
    <m/>
  </r>
  <r>
    <x v="313"/>
    <s v="Mon"/>
    <x v="45"/>
    <x v="0"/>
    <m/>
    <m/>
    <m/>
    <n v="7.8"/>
    <n v="0"/>
    <n v="0"/>
    <m/>
  </r>
  <r>
    <x v="314"/>
    <s v="Tue"/>
    <x v="45"/>
    <x v="0"/>
    <m/>
    <m/>
    <m/>
    <n v="7.8"/>
    <n v="0"/>
    <n v="0"/>
    <m/>
  </r>
  <r>
    <x v="315"/>
    <s v="Wed"/>
    <x v="45"/>
    <x v="0"/>
    <m/>
    <m/>
    <m/>
    <n v="7.8"/>
    <n v="0"/>
    <n v="0"/>
    <m/>
  </r>
  <r>
    <x v="316"/>
    <s v="Thu"/>
    <x v="45"/>
    <x v="0"/>
    <m/>
    <m/>
    <m/>
    <n v="7.8"/>
    <n v="0"/>
    <n v="0"/>
    <m/>
  </r>
  <r>
    <x v="317"/>
    <s v="Fri"/>
    <x v="45"/>
    <x v="0"/>
    <m/>
    <m/>
    <m/>
    <n v="7.8"/>
    <n v="0"/>
    <n v="0"/>
    <m/>
  </r>
  <r>
    <x v="318"/>
    <s v="Sat"/>
    <x v="45"/>
    <x v="0"/>
    <m/>
    <m/>
    <m/>
    <n v="0"/>
    <n v="0"/>
    <n v="0"/>
    <m/>
  </r>
  <r>
    <x v="319"/>
    <s v="Sun"/>
    <x v="45"/>
    <x v="0"/>
    <m/>
    <m/>
    <m/>
    <n v="0"/>
    <n v="0"/>
    <n v="0"/>
    <m/>
  </r>
  <r>
    <x v="320"/>
    <s v="Mon"/>
    <x v="46"/>
    <x v="0"/>
    <m/>
    <m/>
    <m/>
    <n v="7.8"/>
    <n v="0"/>
    <n v="0"/>
    <m/>
  </r>
  <r>
    <x v="321"/>
    <s v="Tue"/>
    <x v="46"/>
    <x v="0"/>
    <m/>
    <m/>
    <m/>
    <n v="7.8"/>
    <n v="0"/>
    <n v="0"/>
    <m/>
  </r>
  <r>
    <x v="322"/>
    <s v="Wed"/>
    <x v="46"/>
    <x v="0"/>
    <m/>
    <m/>
    <m/>
    <n v="7.8"/>
    <n v="0"/>
    <n v="0"/>
    <m/>
  </r>
  <r>
    <x v="323"/>
    <s v="Thu"/>
    <x v="46"/>
    <x v="0"/>
    <m/>
    <m/>
    <m/>
    <n v="7.8"/>
    <n v="0"/>
    <n v="0"/>
    <m/>
  </r>
  <r>
    <x v="324"/>
    <s v="Fri"/>
    <x v="46"/>
    <x v="0"/>
    <m/>
    <m/>
    <m/>
    <n v="7.8"/>
    <n v="0"/>
    <n v="0"/>
    <m/>
  </r>
  <r>
    <x v="325"/>
    <s v="Sat"/>
    <x v="46"/>
    <x v="0"/>
    <m/>
    <m/>
    <m/>
    <n v="0"/>
    <n v="0"/>
    <n v="0"/>
    <m/>
  </r>
  <r>
    <x v="326"/>
    <s v="Sun"/>
    <x v="46"/>
    <x v="0"/>
    <m/>
    <m/>
    <m/>
    <n v="0"/>
    <n v="0"/>
    <n v="0"/>
    <m/>
  </r>
  <r>
    <x v="327"/>
    <s v="Mon"/>
    <x v="47"/>
    <x v="0"/>
    <m/>
    <m/>
    <m/>
    <n v="7.8"/>
    <n v="0"/>
    <n v="0"/>
    <m/>
  </r>
  <r>
    <x v="328"/>
    <s v="Tue"/>
    <x v="47"/>
    <x v="0"/>
    <m/>
    <m/>
    <m/>
    <n v="7.8"/>
    <n v="0"/>
    <n v="0"/>
    <m/>
  </r>
  <r>
    <x v="329"/>
    <s v="Wed"/>
    <x v="47"/>
    <x v="0"/>
    <m/>
    <m/>
    <m/>
    <n v="7.8"/>
    <n v="0"/>
    <n v="0"/>
    <m/>
  </r>
  <r>
    <x v="330"/>
    <s v="Thu"/>
    <x v="47"/>
    <x v="0"/>
    <m/>
    <m/>
    <m/>
    <n v="7.8"/>
    <n v="0"/>
    <n v="0"/>
    <m/>
  </r>
  <r>
    <x v="331"/>
    <s v="Fri"/>
    <x v="47"/>
    <x v="0"/>
    <m/>
    <m/>
    <m/>
    <n v="7.8"/>
    <n v="0"/>
    <n v="0"/>
    <m/>
  </r>
  <r>
    <x v="332"/>
    <s v="Sat"/>
    <x v="47"/>
    <x v="0"/>
    <m/>
    <m/>
    <m/>
    <n v="0"/>
    <n v="0"/>
    <n v="0"/>
    <m/>
  </r>
  <r>
    <x v="333"/>
    <s v="Sun"/>
    <x v="47"/>
    <x v="0"/>
    <m/>
    <m/>
    <m/>
    <n v="0"/>
    <n v="0"/>
    <n v="0"/>
    <m/>
  </r>
  <r>
    <x v="334"/>
    <s v="Mon"/>
    <x v="48"/>
    <x v="0"/>
    <m/>
    <m/>
    <m/>
    <n v="7.8"/>
    <n v="0"/>
    <n v="0"/>
    <m/>
  </r>
  <r>
    <x v="335"/>
    <s v="Tue"/>
    <x v="48"/>
    <x v="0"/>
    <m/>
    <m/>
    <m/>
    <n v="7.8"/>
    <n v="0"/>
    <n v="0"/>
    <m/>
  </r>
  <r>
    <x v="336"/>
    <s v="Wed"/>
    <x v="48"/>
    <x v="0"/>
    <m/>
    <m/>
    <m/>
    <n v="7.8"/>
    <n v="0"/>
    <n v="0"/>
    <m/>
  </r>
  <r>
    <x v="337"/>
    <s v="Thu"/>
    <x v="48"/>
    <x v="0"/>
    <m/>
    <m/>
    <m/>
    <n v="7.8"/>
    <n v="0"/>
    <n v="0"/>
    <m/>
  </r>
  <r>
    <x v="338"/>
    <s v="Fri"/>
    <x v="48"/>
    <x v="0"/>
    <m/>
    <m/>
    <m/>
    <n v="7.8"/>
    <n v="0"/>
    <n v="0"/>
    <m/>
  </r>
  <r>
    <x v="339"/>
    <s v="Sat"/>
    <x v="48"/>
    <x v="0"/>
    <m/>
    <m/>
    <m/>
    <n v="0"/>
    <n v="0"/>
    <n v="0"/>
    <m/>
  </r>
  <r>
    <x v="340"/>
    <s v="Sun"/>
    <x v="48"/>
    <x v="0"/>
    <m/>
    <m/>
    <m/>
    <n v="0"/>
    <n v="0"/>
    <n v="0"/>
    <m/>
  </r>
  <r>
    <x v="341"/>
    <s v="Mon"/>
    <x v="49"/>
    <x v="0"/>
    <m/>
    <m/>
    <m/>
    <n v="7.8"/>
    <n v="0"/>
    <n v="0"/>
    <m/>
  </r>
  <r>
    <x v="342"/>
    <s v="Tue"/>
    <x v="49"/>
    <x v="0"/>
    <m/>
    <m/>
    <m/>
    <n v="7.8"/>
    <n v="0"/>
    <n v="0"/>
    <m/>
  </r>
  <r>
    <x v="343"/>
    <s v="Wed"/>
    <x v="49"/>
    <x v="0"/>
    <m/>
    <m/>
    <m/>
    <n v="7.8"/>
    <n v="0"/>
    <n v="0"/>
    <m/>
  </r>
  <r>
    <x v="344"/>
    <s v="Thu"/>
    <x v="49"/>
    <x v="0"/>
    <m/>
    <m/>
    <m/>
    <n v="7.8"/>
    <n v="0"/>
    <n v="0"/>
    <m/>
  </r>
  <r>
    <x v="345"/>
    <s v="Fri"/>
    <x v="49"/>
    <x v="0"/>
    <m/>
    <m/>
    <m/>
    <n v="7.8"/>
    <n v="0"/>
    <n v="0"/>
    <m/>
  </r>
  <r>
    <x v="346"/>
    <s v="Sat"/>
    <x v="49"/>
    <x v="0"/>
    <m/>
    <m/>
    <m/>
    <n v="0"/>
    <n v="0"/>
    <n v="0"/>
    <m/>
  </r>
  <r>
    <x v="347"/>
    <s v="Sun"/>
    <x v="49"/>
    <x v="0"/>
    <m/>
    <m/>
    <m/>
    <n v="0"/>
    <n v="0"/>
    <n v="0"/>
    <m/>
  </r>
  <r>
    <x v="348"/>
    <s v="Mon"/>
    <x v="50"/>
    <x v="0"/>
    <m/>
    <m/>
    <m/>
    <n v="7.8"/>
    <n v="0"/>
    <n v="0"/>
    <m/>
  </r>
  <r>
    <x v="349"/>
    <s v="Tue"/>
    <x v="50"/>
    <x v="0"/>
    <m/>
    <m/>
    <m/>
    <n v="7.8"/>
    <n v="0"/>
    <n v="0"/>
    <m/>
  </r>
  <r>
    <x v="350"/>
    <s v="Wed"/>
    <x v="50"/>
    <x v="0"/>
    <m/>
    <m/>
    <m/>
    <n v="7.8"/>
    <n v="0"/>
    <n v="0"/>
    <m/>
  </r>
  <r>
    <x v="351"/>
    <s v="Thu"/>
    <x v="50"/>
    <x v="0"/>
    <m/>
    <m/>
    <m/>
    <n v="7.8"/>
    <n v="0"/>
    <n v="0"/>
    <m/>
  </r>
  <r>
    <x v="352"/>
    <s v="Fri"/>
    <x v="50"/>
    <x v="0"/>
    <m/>
    <m/>
    <m/>
    <n v="7.8"/>
    <n v="0"/>
    <n v="0"/>
    <m/>
  </r>
  <r>
    <x v="353"/>
    <s v="Sat"/>
    <x v="50"/>
    <x v="0"/>
    <m/>
    <m/>
    <m/>
    <n v="0"/>
    <n v="0"/>
    <n v="0"/>
    <m/>
  </r>
  <r>
    <x v="354"/>
    <s v="Sun"/>
    <x v="50"/>
    <x v="0"/>
    <m/>
    <m/>
    <m/>
    <n v="0"/>
    <n v="0"/>
    <n v="0"/>
    <m/>
  </r>
  <r>
    <x v="355"/>
    <s v="Mon"/>
    <x v="51"/>
    <x v="0"/>
    <m/>
    <m/>
    <m/>
    <n v="7.8"/>
    <n v="0"/>
    <n v="0"/>
    <m/>
  </r>
  <r>
    <x v="356"/>
    <s v="Tue"/>
    <x v="51"/>
    <x v="0"/>
    <m/>
    <m/>
    <m/>
    <n v="7.8"/>
    <n v="0"/>
    <n v="0"/>
    <m/>
  </r>
  <r>
    <x v="357"/>
    <s v="Wed"/>
    <x v="51"/>
    <x v="0"/>
    <m/>
    <m/>
    <m/>
    <n v="7.8"/>
    <n v="0"/>
    <n v="0"/>
    <m/>
  </r>
  <r>
    <x v="358"/>
    <s v="Thu"/>
    <x v="51"/>
    <x v="0"/>
    <m/>
    <m/>
    <m/>
    <n v="7.8"/>
    <n v="0"/>
    <n v="0"/>
    <m/>
  </r>
  <r>
    <x v="359"/>
    <s v="Fri"/>
    <x v="51"/>
    <x v="0"/>
    <m/>
    <m/>
    <m/>
    <n v="7.8"/>
    <n v="0"/>
    <n v="0"/>
    <m/>
  </r>
  <r>
    <x v="360"/>
    <s v="Sat"/>
    <x v="51"/>
    <x v="0"/>
    <m/>
    <m/>
    <m/>
    <n v="0"/>
    <n v="0"/>
    <n v="0"/>
    <m/>
  </r>
  <r>
    <x v="361"/>
    <s v="Sun"/>
    <x v="51"/>
    <x v="0"/>
    <m/>
    <m/>
    <m/>
    <n v="0"/>
    <n v="0"/>
    <n v="0"/>
    <m/>
  </r>
  <r>
    <x v="362"/>
    <s v="Mon"/>
    <x v="52"/>
    <x v="0"/>
    <m/>
    <m/>
    <m/>
    <n v="7.8"/>
    <n v="0"/>
    <n v="0"/>
    <m/>
  </r>
  <r>
    <x v="363"/>
    <s v="Tue"/>
    <x v="52"/>
    <x v="0"/>
    <m/>
    <m/>
    <m/>
    <n v="7.8"/>
    <n v="0"/>
    <n v="0"/>
    <m/>
  </r>
  <r>
    <x v="364"/>
    <s v="Wed"/>
    <x v="52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hrs_worked" cacheId="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1"/>
        <item x="2"/>
        <item x="3"/>
        <item x="4"/>
        <item x="5"/>
        <item x="6"/>
        <item x="7"/>
        <item x="8"/>
        <item x="31"/>
        <item x="32"/>
        <item x="33"/>
        <item x="34"/>
        <item x="35"/>
        <item x="36"/>
        <item x="37"/>
        <item x="38"/>
        <item x="39"/>
        <item x="60"/>
        <item x="61"/>
        <item x="62"/>
        <item x="63"/>
        <item x="64"/>
        <item x="65"/>
        <item x="66"/>
        <item x="67"/>
        <item x="68"/>
        <item x="91"/>
        <item x="92"/>
        <item x="93"/>
        <item x="94"/>
        <item x="95"/>
        <item x="96"/>
        <item x="97"/>
        <item x="98"/>
        <item x="99"/>
        <item x="121"/>
        <item x="122"/>
        <item x="123"/>
        <item x="124"/>
        <item x="125"/>
        <item x="126"/>
        <item x="127"/>
        <item x="128"/>
        <item x="129"/>
        <item x="152"/>
        <item x="153"/>
        <item x="154"/>
        <item x="155"/>
        <item x="156"/>
        <item x="157"/>
        <item x="158"/>
        <item x="159"/>
        <item x="160"/>
        <item x="182"/>
        <item x="183"/>
        <item x="184"/>
        <item x="185"/>
        <item x="186"/>
        <item x="187"/>
        <item x="188"/>
        <item x="189"/>
        <item x="190"/>
        <item x="213"/>
        <item x="214"/>
        <item x="215"/>
        <item x="216"/>
        <item x="217"/>
        <item x="218"/>
        <item x="219"/>
        <item x="220"/>
        <item x="221"/>
        <item x="244"/>
        <item x="245"/>
        <item x="246"/>
        <item x="247"/>
        <item x="248"/>
        <item x="249"/>
        <item x="250"/>
        <item x="251"/>
        <item x="252"/>
        <item x="274"/>
        <item x="275"/>
        <item x="276"/>
        <item x="277"/>
        <item x="278"/>
        <item x="279"/>
        <item x="280"/>
        <item x="281"/>
        <item x="282"/>
        <item x="305"/>
        <item x="306"/>
        <item x="307"/>
        <item x="308"/>
        <item x="309"/>
        <item x="310"/>
        <item x="311"/>
        <item x="312"/>
        <item x="313"/>
        <item x="335"/>
        <item x="336"/>
        <item x="337"/>
        <item x="338"/>
        <item x="339"/>
        <item x="340"/>
        <item x="341"/>
        <item x="342"/>
        <item x="343"/>
        <item x="366"/>
        <item x="0"/>
        <item x="367"/>
        <item t="default"/>
      </items>
    </pivotField>
    <pivotField showAll="0"/>
    <pivotField axis="axisRow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showAll="0">
      <items count="7">
        <item m="1" x="3"/>
        <item m="1" x="1"/>
        <item m="1" x="5"/>
        <item m="1" x="2"/>
        <item m="1" x="4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0" numFmtId="2"/>
    <dataField name="Sum of +/-" fld="9" baseField="11" baseItem="10" numFmtId="2"/>
  </dataFields>
  <formats count="4">
    <format dxfId="3">
      <pivotArea field="-2" type="button" dataOnly="0" labelOnly="1" outline="0" axis="axisCol" fieldPosition="0"/>
    </format>
    <format dxfId="2">
      <pivotArea field="11" type="button" dataOnly="0" labelOnly="1" outline="0" axis="axisRow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8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2.5703125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3" customWidth="1"/>
    <col min="10" max="10" width="13" style="13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4" t="s">
        <v>7</v>
      </c>
      <c r="B1" s="15" t="s">
        <v>8</v>
      </c>
      <c r="C1" s="14" t="s">
        <v>16</v>
      </c>
      <c r="D1" s="16" t="s">
        <v>9</v>
      </c>
      <c r="E1" s="17" t="s">
        <v>0</v>
      </c>
      <c r="F1" s="17" t="s">
        <v>10</v>
      </c>
      <c r="G1" s="18" t="s">
        <v>11</v>
      </c>
      <c r="H1" s="19" t="s">
        <v>13</v>
      </c>
      <c r="I1" s="19" t="s">
        <v>14</v>
      </c>
      <c r="J1" s="23" t="s">
        <v>1</v>
      </c>
      <c r="K1" s="20" t="s">
        <v>12</v>
      </c>
      <c r="L1" s="5"/>
    </row>
    <row r="2" spans="1:13" x14ac:dyDescent="0.25">
      <c r="A2" s="3">
        <v>42369</v>
      </c>
      <c r="B2" s="12" t="str">
        <f t="shared" ref="B2:B65" si="0">CHOOSE(WEEKDAY($A2,2),"Mon","Tue","Wed","Thu","Fri","Sat","Sun")</f>
        <v>Wed</v>
      </c>
      <c r="C2" s="7">
        <f t="shared" ref="C2:C65" si="1">_xlfn.ISOWEEKNUM($A2)</f>
        <v>1</v>
      </c>
      <c r="H2" s="25">
        <f t="shared" ref="H2:H65" si="2">IF(AND(WEEKDAY($A2,2)&lt;=5,COUNTIF(timeaway_types, $D2)=0),7.8,0)</f>
        <v>7.8</v>
      </c>
      <c r="I2" s="25">
        <f t="shared" ref="I2:I65" si="3">IF(COUNTIF(nonprod_types, $D2)&gt;0,0, (($F2-$E2)-$G2)*24)</f>
        <v>0</v>
      </c>
      <c r="J2" s="25">
        <f t="shared" ref="J2:J66" si="4">IF(D2="",0,$I2-$H2)</f>
        <v>0</v>
      </c>
    </row>
    <row r="3" spans="1:13" x14ac:dyDescent="0.25">
      <c r="A3" s="3">
        <v>42370</v>
      </c>
      <c r="B3" s="12" t="str">
        <f t="shared" si="0"/>
        <v>Thu</v>
      </c>
      <c r="C3" s="7">
        <f t="shared" si="1"/>
        <v>1</v>
      </c>
      <c r="H3" s="25">
        <f t="shared" si="2"/>
        <v>7.8</v>
      </c>
      <c r="I3" s="25">
        <f t="shared" si="3"/>
        <v>0</v>
      </c>
      <c r="J3" s="25">
        <f t="shared" si="4"/>
        <v>0</v>
      </c>
      <c r="M3" s="3"/>
    </row>
    <row r="4" spans="1:13" x14ac:dyDescent="0.25">
      <c r="A4" s="3">
        <v>42371</v>
      </c>
      <c r="B4" s="12" t="str">
        <f t="shared" si="0"/>
        <v>Fri</v>
      </c>
      <c r="C4" s="7">
        <f t="shared" si="1"/>
        <v>1</v>
      </c>
      <c r="H4" s="25">
        <f t="shared" si="2"/>
        <v>7.8</v>
      </c>
      <c r="I4" s="25">
        <f t="shared" si="3"/>
        <v>0</v>
      </c>
      <c r="J4" s="25">
        <f t="shared" si="4"/>
        <v>0</v>
      </c>
    </row>
    <row r="5" spans="1:13" x14ac:dyDescent="0.25">
      <c r="A5" s="3">
        <v>42372</v>
      </c>
      <c r="B5" s="12" t="str">
        <f t="shared" si="0"/>
        <v>Sat</v>
      </c>
      <c r="C5" s="7">
        <f t="shared" si="1"/>
        <v>1</v>
      </c>
      <c r="H5" s="25">
        <f t="shared" si="2"/>
        <v>0</v>
      </c>
      <c r="I5" s="25">
        <f t="shared" si="3"/>
        <v>0</v>
      </c>
      <c r="J5" s="25">
        <f t="shared" si="4"/>
        <v>0</v>
      </c>
    </row>
    <row r="6" spans="1:13" x14ac:dyDescent="0.25">
      <c r="A6" s="3">
        <v>42373</v>
      </c>
      <c r="B6" s="12" t="str">
        <f t="shared" si="0"/>
        <v>Sun</v>
      </c>
      <c r="C6" s="7">
        <f t="shared" si="1"/>
        <v>1</v>
      </c>
      <c r="H6" s="25">
        <f t="shared" si="2"/>
        <v>0</v>
      </c>
      <c r="I6" s="25">
        <f t="shared" si="3"/>
        <v>0</v>
      </c>
      <c r="J6" s="25">
        <f t="shared" si="4"/>
        <v>0</v>
      </c>
    </row>
    <row r="7" spans="1:13" x14ac:dyDescent="0.25">
      <c r="A7" s="3">
        <v>42374</v>
      </c>
      <c r="B7" s="12" t="str">
        <f t="shared" si="0"/>
        <v>Mon</v>
      </c>
      <c r="C7" s="7">
        <f t="shared" si="1"/>
        <v>2</v>
      </c>
      <c r="H7" s="25">
        <f t="shared" si="2"/>
        <v>7.8</v>
      </c>
      <c r="I7" s="25">
        <f t="shared" si="3"/>
        <v>0</v>
      </c>
      <c r="J7" s="25">
        <f t="shared" si="4"/>
        <v>0</v>
      </c>
    </row>
    <row r="8" spans="1:13" x14ac:dyDescent="0.25">
      <c r="A8" s="3">
        <v>42375</v>
      </c>
      <c r="B8" s="12" t="str">
        <f t="shared" si="0"/>
        <v>Tue</v>
      </c>
      <c r="C8" s="7">
        <f t="shared" si="1"/>
        <v>2</v>
      </c>
      <c r="H8" s="25">
        <f t="shared" si="2"/>
        <v>7.8</v>
      </c>
      <c r="I8" s="25">
        <f t="shared" si="3"/>
        <v>0</v>
      </c>
      <c r="J8" s="25">
        <f t="shared" si="4"/>
        <v>0</v>
      </c>
    </row>
    <row r="9" spans="1:13" x14ac:dyDescent="0.25">
      <c r="A9" s="3">
        <v>42376</v>
      </c>
      <c r="B9" s="12" t="str">
        <f t="shared" si="0"/>
        <v>Wed</v>
      </c>
      <c r="C9" s="7">
        <f t="shared" si="1"/>
        <v>2</v>
      </c>
      <c r="H9" s="25">
        <f t="shared" si="2"/>
        <v>7.8</v>
      </c>
      <c r="I9" s="25">
        <f t="shared" si="3"/>
        <v>0</v>
      </c>
      <c r="J9" s="25">
        <f t="shared" si="4"/>
        <v>0</v>
      </c>
    </row>
    <row r="10" spans="1:13" x14ac:dyDescent="0.25">
      <c r="A10" s="3">
        <v>42377</v>
      </c>
      <c r="B10" s="12" t="str">
        <f t="shared" si="0"/>
        <v>Thu</v>
      </c>
      <c r="C10" s="7">
        <f t="shared" si="1"/>
        <v>2</v>
      </c>
      <c r="H10" s="25">
        <f t="shared" si="2"/>
        <v>7.8</v>
      </c>
      <c r="I10" s="25">
        <f t="shared" si="3"/>
        <v>0</v>
      </c>
      <c r="J10" s="25">
        <f t="shared" si="4"/>
        <v>0</v>
      </c>
    </row>
    <row r="11" spans="1:13" x14ac:dyDescent="0.25">
      <c r="A11" s="3">
        <v>42378</v>
      </c>
      <c r="B11" s="12" t="str">
        <f t="shared" si="0"/>
        <v>Fri</v>
      </c>
      <c r="C11" s="7">
        <f t="shared" si="1"/>
        <v>2</v>
      </c>
      <c r="H11" s="25">
        <f t="shared" si="2"/>
        <v>7.8</v>
      </c>
      <c r="I11" s="25">
        <f t="shared" si="3"/>
        <v>0</v>
      </c>
      <c r="J11" s="25">
        <f t="shared" si="4"/>
        <v>0</v>
      </c>
    </row>
    <row r="12" spans="1:13" x14ac:dyDescent="0.25">
      <c r="A12" s="3">
        <v>42379</v>
      </c>
      <c r="B12" s="12" t="str">
        <f t="shared" si="0"/>
        <v>Sat</v>
      </c>
      <c r="C12" s="7">
        <f t="shared" si="1"/>
        <v>2</v>
      </c>
      <c r="H12" s="25">
        <f t="shared" si="2"/>
        <v>0</v>
      </c>
      <c r="I12" s="25">
        <f t="shared" si="3"/>
        <v>0</v>
      </c>
      <c r="J12" s="25">
        <f t="shared" si="4"/>
        <v>0</v>
      </c>
    </row>
    <row r="13" spans="1:13" x14ac:dyDescent="0.25">
      <c r="A13" s="3">
        <v>42380</v>
      </c>
      <c r="B13" s="12" t="str">
        <f t="shared" si="0"/>
        <v>Sun</v>
      </c>
      <c r="C13" s="7">
        <f t="shared" si="1"/>
        <v>2</v>
      </c>
      <c r="H13" s="25">
        <f t="shared" si="2"/>
        <v>0</v>
      </c>
      <c r="I13" s="25">
        <f t="shared" si="3"/>
        <v>0</v>
      </c>
      <c r="J13" s="25">
        <f t="shared" si="4"/>
        <v>0</v>
      </c>
    </row>
    <row r="14" spans="1:13" x14ac:dyDescent="0.25">
      <c r="A14" s="3">
        <v>42381</v>
      </c>
      <c r="B14" s="12" t="str">
        <f t="shared" si="0"/>
        <v>Mon</v>
      </c>
      <c r="C14" s="7">
        <f t="shared" si="1"/>
        <v>3</v>
      </c>
      <c r="H14" s="25">
        <f t="shared" si="2"/>
        <v>7.8</v>
      </c>
      <c r="I14" s="25">
        <f t="shared" si="3"/>
        <v>0</v>
      </c>
      <c r="J14" s="25">
        <f t="shared" si="4"/>
        <v>0</v>
      </c>
    </row>
    <row r="15" spans="1:13" x14ac:dyDescent="0.25">
      <c r="A15" s="3">
        <v>42382</v>
      </c>
      <c r="B15" s="12" t="str">
        <f t="shared" si="0"/>
        <v>Tue</v>
      </c>
      <c r="C15" s="7">
        <f t="shared" si="1"/>
        <v>3</v>
      </c>
      <c r="H15" s="25">
        <f t="shared" si="2"/>
        <v>7.8</v>
      </c>
      <c r="I15" s="25">
        <f t="shared" si="3"/>
        <v>0</v>
      </c>
      <c r="J15" s="25">
        <f t="shared" si="4"/>
        <v>0</v>
      </c>
    </row>
    <row r="16" spans="1:13" x14ac:dyDescent="0.25">
      <c r="A16" s="3">
        <v>42383</v>
      </c>
      <c r="B16" s="12" t="str">
        <f t="shared" si="0"/>
        <v>Wed</v>
      </c>
      <c r="C16" s="7">
        <f t="shared" si="1"/>
        <v>3</v>
      </c>
      <c r="H16" s="25">
        <f t="shared" si="2"/>
        <v>7.8</v>
      </c>
      <c r="I16" s="25">
        <f t="shared" si="3"/>
        <v>0</v>
      </c>
      <c r="J16" s="25">
        <f t="shared" si="4"/>
        <v>0</v>
      </c>
    </row>
    <row r="17" spans="1:10" x14ac:dyDescent="0.25">
      <c r="A17" s="3">
        <v>42384</v>
      </c>
      <c r="B17" s="12" t="str">
        <f t="shared" si="0"/>
        <v>Thu</v>
      </c>
      <c r="C17" s="7">
        <f t="shared" si="1"/>
        <v>3</v>
      </c>
      <c r="H17" s="25">
        <f t="shared" si="2"/>
        <v>7.8</v>
      </c>
      <c r="I17" s="25">
        <f t="shared" si="3"/>
        <v>0</v>
      </c>
      <c r="J17" s="25">
        <f t="shared" si="4"/>
        <v>0</v>
      </c>
    </row>
    <row r="18" spans="1:10" x14ac:dyDescent="0.25">
      <c r="A18" s="3">
        <v>42385</v>
      </c>
      <c r="B18" s="12" t="str">
        <f t="shared" si="0"/>
        <v>Fri</v>
      </c>
      <c r="C18" s="7">
        <f t="shared" si="1"/>
        <v>3</v>
      </c>
      <c r="H18" s="25">
        <f t="shared" si="2"/>
        <v>7.8</v>
      </c>
      <c r="I18" s="25">
        <f t="shared" si="3"/>
        <v>0</v>
      </c>
      <c r="J18" s="25">
        <f t="shared" si="4"/>
        <v>0</v>
      </c>
    </row>
    <row r="19" spans="1:10" x14ac:dyDescent="0.25">
      <c r="A19" s="3">
        <v>42386</v>
      </c>
      <c r="B19" s="12" t="str">
        <f t="shared" si="0"/>
        <v>Sat</v>
      </c>
      <c r="C19" s="7">
        <f t="shared" si="1"/>
        <v>3</v>
      </c>
      <c r="H19" s="25">
        <f t="shared" si="2"/>
        <v>0</v>
      </c>
      <c r="I19" s="25">
        <f t="shared" si="3"/>
        <v>0</v>
      </c>
      <c r="J19" s="25">
        <f t="shared" si="4"/>
        <v>0</v>
      </c>
    </row>
    <row r="20" spans="1:10" x14ac:dyDescent="0.25">
      <c r="A20" s="3">
        <v>42387</v>
      </c>
      <c r="B20" s="12" t="str">
        <f t="shared" si="0"/>
        <v>Sun</v>
      </c>
      <c r="C20" s="7">
        <f t="shared" si="1"/>
        <v>3</v>
      </c>
      <c r="H20" s="25">
        <f t="shared" si="2"/>
        <v>0</v>
      </c>
      <c r="I20" s="25">
        <f t="shared" si="3"/>
        <v>0</v>
      </c>
      <c r="J20" s="25">
        <f t="shared" si="4"/>
        <v>0</v>
      </c>
    </row>
    <row r="21" spans="1:10" x14ac:dyDescent="0.25">
      <c r="A21" s="3">
        <v>42388</v>
      </c>
      <c r="B21" s="12" t="str">
        <f t="shared" si="0"/>
        <v>Mon</v>
      </c>
      <c r="C21" s="7">
        <f t="shared" si="1"/>
        <v>4</v>
      </c>
      <c r="H21" s="25">
        <f t="shared" si="2"/>
        <v>7.8</v>
      </c>
      <c r="I21" s="25">
        <f t="shared" si="3"/>
        <v>0</v>
      </c>
      <c r="J21" s="25">
        <f t="shared" si="4"/>
        <v>0</v>
      </c>
    </row>
    <row r="22" spans="1:10" x14ac:dyDescent="0.25">
      <c r="A22" s="3">
        <v>42389</v>
      </c>
      <c r="B22" s="12" t="str">
        <f t="shared" si="0"/>
        <v>Tue</v>
      </c>
      <c r="C22" s="7">
        <f t="shared" si="1"/>
        <v>4</v>
      </c>
      <c r="H22" s="25">
        <f t="shared" si="2"/>
        <v>7.8</v>
      </c>
      <c r="I22" s="25">
        <f t="shared" si="3"/>
        <v>0</v>
      </c>
      <c r="J22" s="25">
        <f t="shared" si="4"/>
        <v>0</v>
      </c>
    </row>
    <row r="23" spans="1:10" x14ac:dyDescent="0.25">
      <c r="A23" s="3">
        <v>42390</v>
      </c>
      <c r="B23" s="12" t="str">
        <f t="shared" si="0"/>
        <v>Wed</v>
      </c>
      <c r="C23" s="7">
        <f t="shared" si="1"/>
        <v>4</v>
      </c>
      <c r="H23" s="25">
        <f t="shared" si="2"/>
        <v>7.8</v>
      </c>
      <c r="I23" s="25">
        <f t="shared" si="3"/>
        <v>0</v>
      </c>
      <c r="J23" s="25">
        <f t="shared" si="4"/>
        <v>0</v>
      </c>
    </row>
    <row r="24" spans="1:10" x14ac:dyDescent="0.25">
      <c r="A24" s="3">
        <v>42391</v>
      </c>
      <c r="B24" s="12" t="str">
        <f t="shared" si="0"/>
        <v>Thu</v>
      </c>
      <c r="C24" s="7">
        <f t="shared" si="1"/>
        <v>4</v>
      </c>
      <c r="H24" s="25">
        <f t="shared" si="2"/>
        <v>7.8</v>
      </c>
      <c r="I24" s="25">
        <f t="shared" si="3"/>
        <v>0</v>
      </c>
      <c r="J24" s="25">
        <f t="shared" si="4"/>
        <v>0</v>
      </c>
    </row>
    <row r="25" spans="1:10" x14ac:dyDescent="0.25">
      <c r="A25" s="3">
        <v>42392</v>
      </c>
      <c r="B25" s="12" t="str">
        <f t="shared" si="0"/>
        <v>Fri</v>
      </c>
      <c r="C25" s="7">
        <f t="shared" si="1"/>
        <v>4</v>
      </c>
      <c r="H25" s="25">
        <f t="shared" si="2"/>
        <v>7.8</v>
      </c>
      <c r="I25" s="25">
        <f t="shared" si="3"/>
        <v>0</v>
      </c>
      <c r="J25" s="25">
        <f t="shared" si="4"/>
        <v>0</v>
      </c>
    </row>
    <row r="26" spans="1:10" x14ac:dyDescent="0.25">
      <c r="A26" s="3">
        <v>42393</v>
      </c>
      <c r="B26" s="12" t="str">
        <f t="shared" si="0"/>
        <v>Sat</v>
      </c>
      <c r="C26" s="7">
        <f t="shared" si="1"/>
        <v>4</v>
      </c>
      <c r="H26" s="25">
        <f t="shared" si="2"/>
        <v>0</v>
      </c>
      <c r="I26" s="25">
        <f t="shared" si="3"/>
        <v>0</v>
      </c>
      <c r="J26" s="25">
        <f t="shared" si="4"/>
        <v>0</v>
      </c>
    </row>
    <row r="27" spans="1:10" x14ac:dyDescent="0.25">
      <c r="A27" s="3">
        <v>42394</v>
      </c>
      <c r="B27" s="12" t="str">
        <f t="shared" si="0"/>
        <v>Sun</v>
      </c>
      <c r="C27" s="7">
        <f t="shared" si="1"/>
        <v>4</v>
      </c>
      <c r="H27" s="25">
        <f t="shared" si="2"/>
        <v>0</v>
      </c>
      <c r="I27" s="25">
        <f t="shared" si="3"/>
        <v>0</v>
      </c>
      <c r="J27" s="25">
        <f t="shared" si="4"/>
        <v>0</v>
      </c>
    </row>
    <row r="28" spans="1:10" x14ac:dyDescent="0.25">
      <c r="A28" s="3">
        <v>42395</v>
      </c>
      <c r="B28" s="12" t="str">
        <f t="shared" si="0"/>
        <v>Mon</v>
      </c>
      <c r="C28" s="7">
        <f t="shared" si="1"/>
        <v>5</v>
      </c>
      <c r="H28" s="25">
        <f t="shared" si="2"/>
        <v>7.8</v>
      </c>
      <c r="I28" s="25">
        <f t="shared" si="3"/>
        <v>0</v>
      </c>
      <c r="J28" s="25">
        <f t="shared" si="4"/>
        <v>0</v>
      </c>
    </row>
    <row r="29" spans="1:10" x14ac:dyDescent="0.25">
      <c r="A29" s="3">
        <v>42396</v>
      </c>
      <c r="B29" s="12" t="str">
        <f t="shared" si="0"/>
        <v>Tue</v>
      </c>
      <c r="C29" s="7">
        <f t="shared" si="1"/>
        <v>5</v>
      </c>
      <c r="H29" s="25">
        <f t="shared" si="2"/>
        <v>7.8</v>
      </c>
      <c r="I29" s="25">
        <f t="shared" si="3"/>
        <v>0</v>
      </c>
      <c r="J29" s="25">
        <f t="shared" si="4"/>
        <v>0</v>
      </c>
    </row>
    <row r="30" spans="1:10" x14ac:dyDescent="0.25">
      <c r="A30" s="3">
        <v>42397</v>
      </c>
      <c r="B30" s="12" t="str">
        <f t="shared" si="0"/>
        <v>Wed</v>
      </c>
      <c r="C30" s="7">
        <f t="shared" si="1"/>
        <v>5</v>
      </c>
      <c r="H30" s="25">
        <f t="shared" si="2"/>
        <v>7.8</v>
      </c>
      <c r="I30" s="25">
        <f t="shared" si="3"/>
        <v>0</v>
      </c>
      <c r="J30" s="25">
        <f t="shared" si="4"/>
        <v>0</v>
      </c>
    </row>
    <row r="31" spans="1:10" x14ac:dyDescent="0.25">
      <c r="A31" s="3">
        <v>42398</v>
      </c>
      <c r="B31" s="12" t="str">
        <f t="shared" si="0"/>
        <v>Thu</v>
      </c>
      <c r="C31" s="7">
        <f t="shared" si="1"/>
        <v>5</v>
      </c>
      <c r="H31" s="25">
        <f t="shared" si="2"/>
        <v>7.8</v>
      </c>
      <c r="I31" s="25">
        <f t="shared" si="3"/>
        <v>0</v>
      </c>
      <c r="J31" s="25">
        <f t="shared" si="4"/>
        <v>0</v>
      </c>
    </row>
    <row r="32" spans="1:10" x14ac:dyDescent="0.25">
      <c r="A32" s="3">
        <v>42399</v>
      </c>
      <c r="B32" s="12" t="str">
        <f t="shared" si="0"/>
        <v>Fri</v>
      </c>
      <c r="C32" s="7">
        <f t="shared" si="1"/>
        <v>5</v>
      </c>
      <c r="H32" s="25">
        <f t="shared" si="2"/>
        <v>7.8</v>
      </c>
      <c r="I32" s="25">
        <f t="shared" si="3"/>
        <v>0</v>
      </c>
      <c r="J32" s="25">
        <f t="shared" si="4"/>
        <v>0</v>
      </c>
    </row>
    <row r="33" spans="1:10" x14ac:dyDescent="0.25">
      <c r="A33" s="3">
        <v>42400</v>
      </c>
      <c r="B33" s="12" t="str">
        <f t="shared" si="0"/>
        <v>Sat</v>
      </c>
      <c r="C33" s="7">
        <f t="shared" si="1"/>
        <v>5</v>
      </c>
      <c r="H33" s="25">
        <f t="shared" si="2"/>
        <v>0</v>
      </c>
      <c r="I33" s="25">
        <f t="shared" si="3"/>
        <v>0</v>
      </c>
      <c r="J33" s="25">
        <f t="shared" si="4"/>
        <v>0</v>
      </c>
    </row>
    <row r="34" spans="1:10" x14ac:dyDescent="0.25">
      <c r="A34" s="3">
        <v>42401</v>
      </c>
      <c r="B34" s="12" t="str">
        <f t="shared" si="0"/>
        <v>Sun</v>
      </c>
      <c r="C34" s="7">
        <f t="shared" si="1"/>
        <v>5</v>
      </c>
      <c r="H34" s="25">
        <f t="shared" si="2"/>
        <v>0</v>
      </c>
      <c r="I34" s="25">
        <f t="shared" si="3"/>
        <v>0</v>
      </c>
      <c r="J34" s="25">
        <f t="shared" si="4"/>
        <v>0</v>
      </c>
    </row>
    <row r="35" spans="1:10" x14ac:dyDescent="0.25">
      <c r="A35" s="3">
        <v>42402</v>
      </c>
      <c r="B35" s="12" t="str">
        <f t="shared" si="0"/>
        <v>Mon</v>
      </c>
      <c r="C35" s="7">
        <f t="shared" si="1"/>
        <v>6</v>
      </c>
      <c r="H35" s="25">
        <f t="shared" si="2"/>
        <v>7.8</v>
      </c>
      <c r="I35" s="25">
        <f t="shared" si="3"/>
        <v>0</v>
      </c>
      <c r="J35" s="25">
        <f t="shared" si="4"/>
        <v>0</v>
      </c>
    </row>
    <row r="36" spans="1:10" x14ac:dyDescent="0.25">
      <c r="A36" s="3">
        <v>42403</v>
      </c>
      <c r="B36" s="12" t="str">
        <f t="shared" si="0"/>
        <v>Tue</v>
      </c>
      <c r="C36" s="7">
        <f t="shared" si="1"/>
        <v>6</v>
      </c>
      <c r="H36" s="25">
        <f t="shared" si="2"/>
        <v>7.8</v>
      </c>
      <c r="I36" s="25">
        <f t="shared" si="3"/>
        <v>0</v>
      </c>
      <c r="J36" s="25">
        <f t="shared" si="4"/>
        <v>0</v>
      </c>
    </row>
    <row r="37" spans="1:10" x14ac:dyDescent="0.25">
      <c r="A37" s="3">
        <v>42404</v>
      </c>
      <c r="B37" s="12" t="str">
        <f t="shared" si="0"/>
        <v>Wed</v>
      </c>
      <c r="C37" s="7">
        <f t="shared" si="1"/>
        <v>6</v>
      </c>
      <c r="H37" s="25">
        <f t="shared" si="2"/>
        <v>7.8</v>
      </c>
      <c r="I37" s="25">
        <f t="shared" si="3"/>
        <v>0</v>
      </c>
      <c r="J37" s="25">
        <f t="shared" si="4"/>
        <v>0</v>
      </c>
    </row>
    <row r="38" spans="1:10" x14ac:dyDescent="0.25">
      <c r="A38" s="3">
        <v>42405</v>
      </c>
      <c r="B38" s="12" t="str">
        <f t="shared" si="0"/>
        <v>Thu</v>
      </c>
      <c r="C38" s="7">
        <f t="shared" si="1"/>
        <v>6</v>
      </c>
      <c r="H38" s="25">
        <f t="shared" si="2"/>
        <v>7.8</v>
      </c>
      <c r="I38" s="25">
        <f t="shared" si="3"/>
        <v>0</v>
      </c>
      <c r="J38" s="25">
        <f t="shared" si="4"/>
        <v>0</v>
      </c>
    </row>
    <row r="39" spans="1:10" x14ac:dyDescent="0.25">
      <c r="A39" s="3">
        <v>42406</v>
      </c>
      <c r="B39" s="12" t="str">
        <f t="shared" si="0"/>
        <v>Fri</v>
      </c>
      <c r="C39" s="7">
        <f t="shared" si="1"/>
        <v>6</v>
      </c>
      <c r="H39" s="25">
        <f t="shared" si="2"/>
        <v>7.8</v>
      </c>
      <c r="I39" s="25">
        <f t="shared" si="3"/>
        <v>0</v>
      </c>
      <c r="J39" s="25">
        <f t="shared" si="4"/>
        <v>0</v>
      </c>
    </row>
    <row r="40" spans="1:10" x14ac:dyDescent="0.25">
      <c r="A40" s="3">
        <v>42407</v>
      </c>
      <c r="B40" s="12" t="str">
        <f t="shared" si="0"/>
        <v>Sat</v>
      </c>
      <c r="C40" s="7">
        <f t="shared" si="1"/>
        <v>6</v>
      </c>
      <c r="H40" s="25">
        <f t="shared" si="2"/>
        <v>0</v>
      </c>
      <c r="I40" s="25">
        <f t="shared" si="3"/>
        <v>0</v>
      </c>
      <c r="J40" s="25">
        <f t="shared" si="4"/>
        <v>0</v>
      </c>
    </row>
    <row r="41" spans="1:10" x14ac:dyDescent="0.25">
      <c r="A41" s="3">
        <v>42408</v>
      </c>
      <c r="B41" s="12" t="str">
        <f t="shared" si="0"/>
        <v>Sun</v>
      </c>
      <c r="C41" s="7">
        <f t="shared" si="1"/>
        <v>6</v>
      </c>
      <c r="H41" s="25">
        <f t="shared" si="2"/>
        <v>0</v>
      </c>
      <c r="I41" s="25">
        <f t="shared" si="3"/>
        <v>0</v>
      </c>
      <c r="J41" s="25">
        <f t="shared" si="4"/>
        <v>0</v>
      </c>
    </row>
    <row r="42" spans="1:10" x14ac:dyDescent="0.25">
      <c r="A42" s="3">
        <v>42409</v>
      </c>
      <c r="B42" s="12" t="str">
        <f t="shared" si="0"/>
        <v>Mon</v>
      </c>
      <c r="C42" s="7">
        <f t="shared" si="1"/>
        <v>7</v>
      </c>
      <c r="H42" s="25">
        <f t="shared" si="2"/>
        <v>7.8</v>
      </c>
      <c r="I42" s="25">
        <f t="shared" si="3"/>
        <v>0</v>
      </c>
      <c r="J42" s="25">
        <f t="shared" si="4"/>
        <v>0</v>
      </c>
    </row>
    <row r="43" spans="1:10" x14ac:dyDescent="0.25">
      <c r="A43" s="3">
        <v>42410</v>
      </c>
      <c r="B43" s="12" t="str">
        <f t="shared" si="0"/>
        <v>Tue</v>
      </c>
      <c r="C43" s="7">
        <f t="shared" si="1"/>
        <v>7</v>
      </c>
      <c r="H43" s="25">
        <f t="shared" si="2"/>
        <v>7.8</v>
      </c>
      <c r="I43" s="25">
        <f t="shared" si="3"/>
        <v>0</v>
      </c>
      <c r="J43" s="25">
        <f t="shared" si="4"/>
        <v>0</v>
      </c>
    </row>
    <row r="44" spans="1:10" x14ac:dyDescent="0.25">
      <c r="A44" s="3">
        <v>42411</v>
      </c>
      <c r="B44" s="12" t="str">
        <f t="shared" si="0"/>
        <v>Wed</v>
      </c>
      <c r="C44" s="7">
        <f t="shared" si="1"/>
        <v>7</v>
      </c>
      <c r="H44" s="25">
        <f t="shared" si="2"/>
        <v>7.8</v>
      </c>
      <c r="I44" s="25">
        <f t="shared" si="3"/>
        <v>0</v>
      </c>
      <c r="J44" s="25">
        <f t="shared" si="4"/>
        <v>0</v>
      </c>
    </row>
    <row r="45" spans="1:10" x14ac:dyDescent="0.25">
      <c r="A45" s="3">
        <v>42412</v>
      </c>
      <c r="B45" s="12" t="str">
        <f t="shared" si="0"/>
        <v>Thu</v>
      </c>
      <c r="C45" s="7">
        <f t="shared" si="1"/>
        <v>7</v>
      </c>
      <c r="H45" s="25">
        <f t="shared" si="2"/>
        <v>7.8</v>
      </c>
      <c r="I45" s="25">
        <f t="shared" si="3"/>
        <v>0</v>
      </c>
      <c r="J45" s="25">
        <f t="shared" si="4"/>
        <v>0</v>
      </c>
    </row>
    <row r="46" spans="1:10" x14ac:dyDescent="0.25">
      <c r="A46" s="3">
        <v>42413</v>
      </c>
      <c r="B46" s="12" t="str">
        <f t="shared" si="0"/>
        <v>Fri</v>
      </c>
      <c r="C46" s="7">
        <f t="shared" si="1"/>
        <v>7</v>
      </c>
      <c r="H46" s="25">
        <f t="shared" si="2"/>
        <v>7.8</v>
      </c>
      <c r="I46" s="25">
        <f t="shared" si="3"/>
        <v>0</v>
      </c>
      <c r="J46" s="25">
        <f t="shared" si="4"/>
        <v>0</v>
      </c>
    </row>
    <row r="47" spans="1:10" x14ac:dyDescent="0.25">
      <c r="A47" s="3">
        <v>42414</v>
      </c>
      <c r="B47" s="12" t="str">
        <f t="shared" si="0"/>
        <v>Sat</v>
      </c>
      <c r="C47" s="7">
        <f t="shared" si="1"/>
        <v>7</v>
      </c>
      <c r="H47" s="25">
        <f t="shared" si="2"/>
        <v>0</v>
      </c>
      <c r="I47" s="25">
        <f t="shared" si="3"/>
        <v>0</v>
      </c>
      <c r="J47" s="25">
        <f t="shared" si="4"/>
        <v>0</v>
      </c>
    </row>
    <row r="48" spans="1:10" x14ac:dyDescent="0.25">
      <c r="A48" s="3">
        <v>42415</v>
      </c>
      <c r="B48" s="12" t="str">
        <f t="shared" si="0"/>
        <v>Sun</v>
      </c>
      <c r="C48" s="7">
        <f t="shared" si="1"/>
        <v>7</v>
      </c>
      <c r="H48" s="25">
        <f t="shared" si="2"/>
        <v>0</v>
      </c>
      <c r="I48" s="25">
        <f t="shared" si="3"/>
        <v>0</v>
      </c>
      <c r="J48" s="25">
        <f t="shared" si="4"/>
        <v>0</v>
      </c>
    </row>
    <row r="49" spans="1:10" x14ac:dyDescent="0.25">
      <c r="A49" s="3">
        <v>42416</v>
      </c>
      <c r="B49" s="12" t="str">
        <f t="shared" si="0"/>
        <v>Mon</v>
      </c>
      <c r="C49" s="7">
        <f t="shared" si="1"/>
        <v>8</v>
      </c>
      <c r="H49" s="25">
        <f t="shared" si="2"/>
        <v>7.8</v>
      </c>
      <c r="I49" s="25">
        <f t="shared" si="3"/>
        <v>0</v>
      </c>
      <c r="J49" s="25">
        <f t="shared" si="4"/>
        <v>0</v>
      </c>
    </row>
    <row r="50" spans="1:10" x14ac:dyDescent="0.25">
      <c r="A50" s="3">
        <v>42417</v>
      </c>
      <c r="B50" s="12" t="str">
        <f t="shared" si="0"/>
        <v>Tue</v>
      </c>
      <c r="C50" s="7">
        <f t="shared" si="1"/>
        <v>8</v>
      </c>
      <c r="H50" s="25">
        <f t="shared" si="2"/>
        <v>7.8</v>
      </c>
      <c r="I50" s="25">
        <f t="shared" si="3"/>
        <v>0</v>
      </c>
      <c r="J50" s="25">
        <f t="shared" si="4"/>
        <v>0</v>
      </c>
    </row>
    <row r="51" spans="1:10" x14ac:dyDescent="0.25">
      <c r="A51" s="3">
        <v>42418</v>
      </c>
      <c r="B51" s="12" t="str">
        <f t="shared" si="0"/>
        <v>Wed</v>
      </c>
      <c r="C51" s="7">
        <f t="shared" si="1"/>
        <v>8</v>
      </c>
      <c r="H51" s="25">
        <f t="shared" si="2"/>
        <v>7.8</v>
      </c>
      <c r="I51" s="25">
        <f t="shared" si="3"/>
        <v>0</v>
      </c>
      <c r="J51" s="25">
        <f t="shared" si="4"/>
        <v>0</v>
      </c>
    </row>
    <row r="52" spans="1:10" x14ac:dyDescent="0.25">
      <c r="A52" s="3">
        <v>42419</v>
      </c>
      <c r="B52" s="12" t="str">
        <f t="shared" si="0"/>
        <v>Thu</v>
      </c>
      <c r="C52" s="7">
        <f t="shared" si="1"/>
        <v>8</v>
      </c>
      <c r="H52" s="25">
        <f t="shared" si="2"/>
        <v>7.8</v>
      </c>
      <c r="I52" s="25">
        <f t="shared" si="3"/>
        <v>0</v>
      </c>
      <c r="J52" s="25">
        <f t="shared" si="4"/>
        <v>0</v>
      </c>
    </row>
    <row r="53" spans="1:10" x14ac:dyDescent="0.25">
      <c r="A53" s="3">
        <v>42420</v>
      </c>
      <c r="B53" s="12" t="str">
        <f t="shared" si="0"/>
        <v>Fri</v>
      </c>
      <c r="C53" s="7">
        <f t="shared" si="1"/>
        <v>8</v>
      </c>
      <c r="H53" s="25">
        <f t="shared" si="2"/>
        <v>7.8</v>
      </c>
      <c r="I53" s="25">
        <f t="shared" si="3"/>
        <v>0</v>
      </c>
      <c r="J53" s="25">
        <f t="shared" si="4"/>
        <v>0</v>
      </c>
    </row>
    <row r="54" spans="1:10" x14ac:dyDescent="0.25">
      <c r="A54" s="3">
        <v>42421</v>
      </c>
      <c r="B54" s="12" t="str">
        <f t="shared" si="0"/>
        <v>Sat</v>
      </c>
      <c r="C54" s="7">
        <f t="shared" si="1"/>
        <v>8</v>
      </c>
      <c r="H54" s="25">
        <f t="shared" si="2"/>
        <v>0</v>
      </c>
      <c r="I54" s="25">
        <f t="shared" si="3"/>
        <v>0</v>
      </c>
      <c r="J54" s="25">
        <f t="shared" si="4"/>
        <v>0</v>
      </c>
    </row>
    <row r="55" spans="1:10" x14ac:dyDescent="0.25">
      <c r="A55" s="3">
        <v>42422</v>
      </c>
      <c r="B55" s="12" t="str">
        <f t="shared" si="0"/>
        <v>Sun</v>
      </c>
      <c r="C55" s="7">
        <f t="shared" si="1"/>
        <v>8</v>
      </c>
      <c r="H55" s="25">
        <f t="shared" si="2"/>
        <v>0</v>
      </c>
      <c r="I55" s="25">
        <f t="shared" si="3"/>
        <v>0</v>
      </c>
      <c r="J55" s="25">
        <f t="shared" si="4"/>
        <v>0</v>
      </c>
    </row>
    <row r="56" spans="1:10" x14ac:dyDescent="0.25">
      <c r="A56" s="3">
        <v>42423</v>
      </c>
      <c r="B56" s="12" t="str">
        <f t="shared" si="0"/>
        <v>Mon</v>
      </c>
      <c r="C56" s="7">
        <f t="shared" si="1"/>
        <v>9</v>
      </c>
      <c r="H56" s="25">
        <f t="shared" si="2"/>
        <v>7.8</v>
      </c>
      <c r="I56" s="25">
        <f t="shared" si="3"/>
        <v>0</v>
      </c>
      <c r="J56" s="25">
        <f t="shared" si="4"/>
        <v>0</v>
      </c>
    </row>
    <row r="57" spans="1:10" x14ac:dyDescent="0.25">
      <c r="A57" s="3">
        <v>42424</v>
      </c>
      <c r="B57" s="12" t="str">
        <f t="shared" si="0"/>
        <v>Tue</v>
      </c>
      <c r="C57" s="7">
        <f t="shared" si="1"/>
        <v>9</v>
      </c>
      <c r="H57" s="25">
        <f t="shared" si="2"/>
        <v>7.8</v>
      </c>
      <c r="I57" s="25">
        <f t="shared" si="3"/>
        <v>0</v>
      </c>
      <c r="J57" s="25">
        <f t="shared" si="4"/>
        <v>0</v>
      </c>
    </row>
    <row r="58" spans="1:10" x14ac:dyDescent="0.25">
      <c r="A58" s="3">
        <v>42425</v>
      </c>
      <c r="B58" s="12" t="str">
        <f t="shared" si="0"/>
        <v>Wed</v>
      </c>
      <c r="C58" s="7">
        <f t="shared" si="1"/>
        <v>9</v>
      </c>
      <c r="H58" s="25">
        <f t="shared" si="2"/>
        <v>7.8</v>
      </c>
      <c r="I58" s="25">
        <f t="shared" si="3"/>
        <v>0</v>
      </c>
      <c r="J58" s="25">
        <f t="shared" si="4"/>
        <v>0</v>
      </c>
    </row>
    <row r="59" spans="1:10" x14ac:dyDescent="0.25">
      <c r="A59" s="3">
        <v>42426</v>
      </c>
      <c r="B59" s="12" t="str">
        <f t="shared" si="0"/>
        <v>Thu</v>
      </c>
      <c r="C59" s="7">
        <f t="shared" si="1"/>
        <v>9</v>
      </c>
      <c r="H59" s="25">
        <f t="shared" si="2"/>
        <v>7.8</v>
      </c>
      <c r="I59" s="25">
        <f t="shared" si="3"/>
        <v>0</v>
      </c>
      <c r="J59" s="25">
        <f t="shared" si="4"/>
        <v>0</v>
      </c>
    </row>
    <row r="60" spans="1:10" x14ac:dyDescent="0.25">
      <c r="A60" s="3">
        <v>42427</v>
      </c>
      <c r="B60" s="12" t="str">
        <f t="shared" si="0"/>
        <v>Fri</v>
      </c>
      <c r="C60" s="7">
        <f t="shared" si="1"/>
        <v>9</v>
      </c>
      <c r="H60" s="25">
        <f t="shared" si="2"/>
        <v>7.8</v>
      </c>
      <c r="I60" s="25">
        <f t="shared" si="3"/>
        <v>0</v>
      </c>
      <c r="J60" s="25">
        <f t="shared" si="4"/>
        <v>0</v>
      </c>
    </row>
    <row r="61" spans="1:10" x14ac:dyDescent="0.25">
      <c r="A61" s="3">
        <v>42428</v>
      </c>
      <c r="B61" s="12" t="str">
        <f t="shared" si="0"/>
        <v>Sat</v>
      </c>
      <c r="C61" s="7">
        <f t="shared" si="1"/>
        <v>9</v>
      </c>
      <c r="H61" s="25">
        <f t="shared" si="2"/>
        <v>0</v>
      </c>
      <c r="I61" s="25">
        <f t="shared" si="3"/>
        <v>0</v>
      </c>
      <c r="J61" s="25">
        <f t="shared" si="4"/>
        <v>0</v>
      </c>
    </row>
    <row r="62" spans="1:10" x14ac:dyDescent="0.25">
      <c r="A62" s="3">
        <v>42429</v>
      </c>
      <c r="B62" s="12" t="str">
        <f t="shared" si="0"/>
        <v>Sun</v>
      </c>
      <c r="C62" s="7">
        <f t="shared" si="1"/>
        <v>9</v>
      </c>
      <c r="H62" s="25">
        <f t="shared" si="2"/>
        <v>0</v>
      </c>
      <c r="I62" s="25">
        <f t="shared" si="3"/>
        <v>0</v>
      </c>
      <c r="J62" s="25">
        <f t="shared" si="4"/>
        <v>0</v>
      </c>
    </row>
    <row r="63" spans="1:10" x14ac:dyDescent="0.25">
      <c r="A63" s="3">
        <v>42430</v>
      </c>
      <c r="B63" s="12" t="str">
        <f t="shared" si="0"/>
        <v>Mon</v>
      </c>
      <c r="C63" s="7">
        <f t="shared" si="1"/>
        <v>10</v>
      </c>
      <c r="H63" s="25">
        <f t="shared" si="2"/>
        <v>7.8</v>
      </c>
      <c r="I63" s="25">
        <f t="shared" si="3"/>
        <v>0</v>
      </c>
      <c r="J63" s="25">
        <f t="shared" si="4"/>
        <v>0</v>
      </c>
    </row>
    <row r="64" spans="1:10" x14ac:dyDescent="0.25">
      <c r="A64" s="3">
        <v>42431</v>
      </c>
      <c r="B64" s="12" t="str">
        <f t="shared" si="0"/>
        <v>Tue</v>
      </c>
      <c r="C64" s="7">
        <f t="shared" si="1"/>
        <v>10</v>
      </c>
      <c r="H64" s="25">
        <f t="shared" si="2"/>
        <v>7.8</v>
      </c>
      <c r="I64" s="25">
        <f t="shared" si="3"/>
        <v>0</v>
      </c>
      <c r="J64" s="25">
        <f t="shared" si="4"/>
        <v>0</v>
      </c>
    </row>
    <row r="65" spans="1:10" x14ac:dyDescent="0.25">
      <c r="A65" s="3">
        <v>42432</v>
      </c>
      <c r="B65" s="12" t="str">
        <f t="shared" si="0"/>
        <v>Wed</v>
      </c>
      <c r="C65" s="7">
        <f t="shared" si="1"/>
        <v>10</v>
      </c>
      <c r="H65" s="25">
        <f t="shared" si="2"/>
        <v>7.8</v>
      </c>
      <c r="I65" s="25">
        <f t="shared" si="3"/>
        <v>0</v>
      </c>
      <c r="J65" s="25">
        <f t="shared" si="4"/>
        <v>0</v>
      </c>
    </row>
    <row r="66" spans="1:10" x14ac:dyDescent="0.25">
      <c r="A66" s="3">
        <v>42433</v>
      </c>
      <c r="B66" s="12" t="str">
        <f t="shared" ref="B66:B129" si="5">CHOOSE(WEEKDAY($A66,2),"Mon","Tue","Wed","Thu","Fri","Sat","Sun")</f>
        <v>Thu</v>
      </c>
      <c r="C66" s="7">
        <f t="shared" ref="C66:C129" si="6">_xlfn.ISOWEEKNUM($A66)</f>
        <v>10</v>
      </c>
      <c r="H66" s="25">
        <f t="shared" ref="H66:H129" si="7">IF(AND(WEEKDAY($A66,2)&lt;=5,COUNTIF(timeaway_types, $D66)=0),7.8,0)</f>
        <v>7.8</v>
      </c>
      <c r="I66" s="25">
        <f t="shared" ref="I66:I129" si="8">IF(COUNTIF(nonprod_types, $D66)&gt;0,0, (($F66-$E66)-$G66)*24)</f>
        <v>0</v>
      </c>
      <c r="J66" s="25">
        <f t="shared" si="4"/>
        <v>0</v>
      </c>
    </row>
    <row r="67" spans="1:10" x14ac:dyDescent="0.25">
      <c r="A67" s="3">
        <v>42434</v>
      </c>
      <c r="B67" s="12" t="str">
        <f t="shared" si="5"/>
        <v>Fri</v>
      </c>
      <c r="C67" s="7">
        <f t="shared" si="6"/>
        <v>10</v>
      </c>
      <c r="H67" s="25">
        <f t="shared" si="7"/>
        <v>7.8</v>
      </c>
      <c r="I67" s="25">
        <f t="shared" si="8"/>
        <v>0</v>
      </c>
      <c r="J67" s="25">
        <f t="shared" ref="J67:J130" si="9">IF(D67="",0,$I67-$H67)</f>
        <v>0</v>
      </c>
    </row>
    <row r="68" spans="1:10" x14ac:dyDescent="0.25">
      <c r="A68" s="3">
        <v>42435</v>
      </c>
      <c r="B68" s="12" t="str">
        <f t="shared" si="5"/>
        <v>Sat</v>
      </c>
      <c r="C68" s="7">
        <f t="shared" si="6"/>
        <v>10</v>
      </c>
      <c r="H68" s="25">
        <f t="shared" si="7"/>
        <v>0</v>
      </c>
      <c r="I68" s="25">
        <f t="shared" si="8"/>
        <v>0</v>
      </c>
      <c r="J68" s="25">
        <f t="shared" si="9"/>
        <v>0</v>
      </c>
    </row>
    <row r="69" spans="1:10" x14ac:dyDescent="0.25">
      <c r="A69" s="3">
        <v>42436</v>
      </c>
      <c r="B69" s="12" t="str">
        <f t="shared" si="5"/>
        <v>Sun</v>
      </c>
      <c r="C69" s="7">
        <f t="shared" si="6"/>
        <v>10</v>
      </c>
      <c r="H69" s="25">
        <f t="shared" si="7"/>
        <v>0</v>
      </c>
      <c r="I69" s="25">
        <f t="shared" si="8"/>
        <v>0</v>
      </c>
      <c r="J69" s="25">
        <f t="shared" si="9"/>
        <v>0</v>
      </c>
    </row>
    <row r="70" spans="1:10" x14ac:dyDescent="0.25">
      <c r="A70" s="3">
        <v>42437</v>
      </c>
      <c r="B70" s="12" t="str">
        <f t="shared" si="5"/>
        <v>Mon</v>
      </c>
      <c r="C70" s="7">
        <f t="shared" si="6"/>
        <v>11</v>
      </c>
      <c r="H70" s="25">
        <f t="shared" si="7"/>
        <v>7.8</v>
      </c>
      <c r="I70" s="25">
        <f t="shared" si="8"/>
        <v>0</v>
      </c>
      <c r="J70" s="25">
        <f t="shared" si="9"/>
        <v>0</v>
      </c>
    </row>
    <row r="71" spans="1:10" x14ac:dyDescent="0.25">
      <c r="A71" s="3">
        <v>42438</v>
      </c>
      <c r="B71" s="12" t="str">
        <f t="shared" si="5"/>
        <v>Tue</v>
      </c>
      <c r="C71" s="7">
        <f t="shared" si="6"/>
        <v>11</v>
      </c>
      <c r="H71" s="25">
        <f t="shared" si="7"/>
        <v>7.8</v>
      </c>
      <c r="I71" s="25">
        <f t="shared" si="8"/>
        <v>0</v>
      </c>
      <c r="J71" s="25">
        <f t="shared" si="9"/>
        <v>0</v>
      </c>
    </row>
    <row r="72" spans="1:10" x14ac:dyDescent="0.25">
      <c r="A72" s="3">
        <v>42439</v>
      </c>
      <c r="B72" s="12" t="str">
        <f t="shared" si="5"/>
        <v>Wed</v>
      </c>
      <c r="C72" s="7">
        <f t="shared" si="6"/>
        <v>11</v>
      </c>
      <c r="H72" s="25">
        <f t="shared" si="7"/>
        <v>7.8</v>
      </c>
      <c r="I72" s="25">
        <f t="shared" si="8"/>
        <v>0</v>
      </c>
      <c r="J72" s="25">
        <f t="shared" si="9"/>
        <v>0</v>
      </c>
    </row>
    <row r="73" spans="1:10" x14ac:dyDescent="0.25">
      <c r="A73" s="3">
        <v>42440</v>
      </c>
      <c r="B73" s="12" t="str">
        <f t="shared" si="5"/>
        <v>Thu</v>
      </c>
      <c r="C73" s="7">
        <f t="shared" si="6"/>
        <v>11</v>
      </c>
      <c r="H73" s="25">
        <f t="shared" si="7"/>
        <v>7.8</v>
      </c>
      <c r="I73" s="25">
        <f t="shared" si="8"/>
        <v>0</v>
      </c>
      <c r="J73" s="25">
        <f t="shared" si="9"/>
        <v>0</v>
      </c>
    </row>
    <row r="74" spans="1:10" x14ac:dyDescent="0.25">
      <c r="A74" s="3">
        <v>42441</v>
      </c>
      <c r="B74" s="12" t="str">
        <f t="shared" si="5"/>
        <v>Fri</v>
      </c>
      <c r="C74" s="7">
        <f t="shared" si="6"/>
        <v>11</v>
      </c>
      <c r="H74" s="25">
        <f t="shared" si="7"/>
        <v>7.8</v>
      </c>
      <c r="I74" s="25">
        <f t="shared" si="8"/>
        <v>0</v>
      </c>
      <c r="J74" s="25">
        <f t="shared" si="9"/>
        <v>0</v>
      </c>
    </row>
    <row r="75" spans="1:10" x14ac:dyDescent="0.25">
      <c r="A75" s="3">
        <v>42442</v>
      </c>
      <c r="B75" s="12" t="str">
        <f t="shared" si="5"/>
        <v>Sat</v>
      </c>
      <c r="C75" s="7">
        <f t="shared" si="6"/>
        <v>11</v>
      </c>
      <c r="H75" s="25">
        <f t="shared" si="7"/>
        <v>0</v>
      </c>
      <c r="I75" s="25">
        <f t="shared" si="8"/>
        <v>0</v>
      </c>
      <c r="J75" s="25">
        <f t="shared" si="9"/>
        <v>0</v>
      </c>
    </row>
    <row r="76" spans="1:10" x14ac:dyDescent="0.25">
      <c r="A76" s="3">
        <v>42443</v>
      </c>
      <c r="B76" s="12" t="str">
        <f t="shared" si="5"/>
        <v>Sun</v>
      </c>
      <c r="C76" s="7">
        <f t="shared" si="6"/>
        <v>11</v>
      </c>
      <c r="H76" s="25">
        <f t="shared" si="7"/>
        <v>0</v>
      </c>
      <c r="I76" s="25">
        <f t="shared" si="8"/>
        <v>0</v>
      </c>
      <c r="J76" s="25">
        <f t="shared" si="9"/>
        <v>0</v>
      </c>
    </row>
    <row r="77" spans="1:10" x14ac:dyDescent="0.25">
      <c r="A77" s="3">
        <v>42444</v>
      </c>
      <c r="B77" s="12" t="str">
        <f t="shared" si="5"/>
        <v>Mon</v>
      </c>
      <c r="C77" s="7">
        <f t="shared" si="6"/>
        <v>12</v>
      </c>
      <c r="H77" s="25">
        <f t="shared" si="7"/>
        <v>7.8</v>
      </c>
      <c r="I77" s="25">
        <f t="shared" si="8"/>
        <v>0</v>
      </c>
      <c r="J77" s="25">
        <f t="shared" si="9"/>
        <v>0</v>
      </c>
    </row>
    <row r="78" spans="1:10" x14ac:dyDescent="0.25">
      <c r="A78" s="3">
        <v>42445</v>
      </c>
      <c r="B78" s="12" t="str">
        <f t="shared" si="5"/>
        <v>Tue</v>
      </c>
      <c r="C78" s="7">
        <f t="shared" si="6"/>
        <v>12</v>
      </c>
      <c r="H78" s="25">
        <f t="shared" si="7"/>
        <v>7.8</v>
      </c>
      <c r="I78" s="25">
        <f t="shared" si="8"/>
        <v>0</v>
      </c>
      <c r="J78" s="25">
        <f t="shared" si="9"/>
        <v>0</v>
      </c>
    </row>
    <row r="79" spans="1:10" x14ac:dyDescent="0.25">
      <c r="A79" s="3">
        <v>42446</v>
      </c>
      <c r="B79" s="12" t="str">
        <f t="shared" si="5"/>
        <v>Wed</v>
      </c>
      <c r="C79" s="7">
        <f t="shared" si="6"/>
        <v>12</v>
      </c>
      <c r="H79" s="25">
        <f t="shared" si="7"/>
        <v>7.8</v>
      </c>
      <c r="I79" s="25">
        <f t="shared" si="8"/>
        <v>0</v>
      </c>
      <c r="J79" s="25">
        <f t="shared" si="9"/>
        <v>0</v>
      </c>
    </row>
    <row r="80" spans="1:10" x14ac:dyDescent="0.25">
      <c r="A80" s="3">
        <v>42447</v>
      </c>
      <c r="B80" s="12" t="str">
        <f t="shared" si="5"/>
        <v>Thu</v>
      </c>
      <c r="C80" s="7">
        <f t="shared" si="6"/>
        <v>12</v>
      </c>
      <c r="H80" s="25">
        <f t="shared" si="7"/>
        <v>7.8</v>
      </c>
      <c r="I80" s="25">
        <f t="shared" si="8"/>
        <v>0</v>
      </c>
      <c r="J80" s="25">
        <f t="shared" si="9"/>
        <v>0</v>
      </c>
    </row>
    <row r="81" spans="1:10" x14ac:dyDescent="0.25">
      <c r="A81" s="3">
        <v>42448</v>
      </c>
      <c r="B81" s="12" t="str">
        <f t="shared" si="5"/>
        <v>Fri</v>
      </c>
      <c r="C81" s="7">
        <f t="shared" si="6"/>
        <v>12</v>
      </c>
      <c r="H81" s="25">
        <f t="shared" si="7"/>
        <v>7.8</v>
      </c>
      <c r="I81" s="25">
        <f t="shared" si="8"/>
        <v>0</v>
      </c>
      <c r="J81" s="25">
        <f t="shared" si="9"/>
        <v>0</v>
      </c>
    </row>
    <row r="82" spans="1:10" x14ac:dyDescent="0.25">
      <c r="A82" s="3">
        <v>42449</v>
      </c>
      <c r="B82" s="12" t="str">
        <f t="shared" si="5"/>
        <v>Sat</v>
      </c>
      <c r="C82" s="7">
        <f t="shared" si="6"/>
        <v>12</v>
      </c>
      <c r="H82" s="25">
        <f t="shared" si="7"/>
        <v>0</v>
      </c>
      <c r="I82" s="25">
        <f t="shared" si="8"/>
        <v>0</v>
      </c>
      <c r="J82" s="25">
        <f t="shared" si="9"/>
        <v>0</v>
      </c>
    </row>
    <row r="83" spans="1:10" x14ac:dyDescent="0.25">
      <c r="A83" s="3">
        <v>42450</v>
      </c>
      <c r="B83" s="12" t="str">
        <f t="shared" si="5"/>
        <v>Sun</v>
      </c>
      <c r="C83" s="7">
        <f t="shared" si="6"/>
        <v>12</v>
      </c>
      <c r="H83" s="25">
        <f t="shared" si="7"/>
        <v>0</v>
      </c>
      <c r="I83" s="25">
        <f t="shared" si="8"/>
        <v>0</v>
      </c>
      <c r="J83" s="25">
        <f t="shared" si="9"/>
        <v>0</v>
      </c>
    </row>
    <row r="84" spans="1:10" x14ac:dyDescent="0.25">
      <c r="A84" s="3">
        <v>42451</v>
      </c>
      <c r="B84" s="12" t="str">
        <f t="shared" si="5"/>
        <v>Mon</v>
      </c>
      <c r="C84" s="7">
        <f t="shared" si="6"/>
        <v>13</v>
      </c>
      <c r="H84" s="25">
        <f t="shared" si="7"/>
        <v>7.8</v>
      </c>
      <c r="I84" s="25">
        <f t="shared" si="8"/>
        <v>0</v>
      </c>
      <c r="J84" s="25">
        <f t="shared" si="9"/>
        <v>0</v>
      </c>
    </row>
    <row r="85" spans="1:10" x14ac:dyDescent="0.25">
      <c r="A85" s="3">
        <v>42452</v>
      </c>
      <c r="B85" s="12" t="str">
        <f t="shared" si="5"/>
        <v>Tue</v>
      </c>
      <c r="C85" s="7">
        <f t="shared" si="6"/>
        <v>13</v>
      </c>
      <c r="H85" s="25">
        <f t="shared" si="7"/>
        <v>7.8</v>
      </c>
      <c r="I85" s="25">
        <f t="shared" si="8"/>
        <v>0</v>
      </c>
      <c r="J85" s="25">
        <f t="shared" si="9"/>
        <v>0</v>
      </c>
    </row>
    <row r="86" spans="1:10" x14ac:dyDescent="0.25">
      <c r="A86" s="3">
        <v>42453</v>
      </c>
      <c r="B86" s="12" t="str">
        <f t="shared" si="5"/>
        <v>Wed</v>
      </c>
      <c r="C86" s="7">
        <f t="shared" si="6"/>
        <v>13</v>
      </c>
      <c r="H86" s="25">
        <f t="shared" si="7"/>
        <v>7.8</v>
      </c>
      <c r="I86" s="25">
        <f t="shared" si="8"/>
        <v>0</v>
      </c>
      <c r="J86" s="25">
        <f t="shared" si="9"/>
        <v>0</v>
      </c>
    </row>
    <row r="87" spans="1:10" x14ac:dyDescent="0.25">
      <c r="A87" s="3">
        <v>42454</v>
      </c>
      <c r="B87" s="12" t="str">
        <f t="shared" si="5"/>
        <v>Thu</v>
      </c>
      <c r="C87" s="7">
        <f t="shared" si="6"/>
        <v>13</v>
      </c>
      <c r="H87" s="25">
        <f t="shared" si="7"/>
        <v>7.8</v>
      </c>
      <c r="I87" s="25">
        <f t="shared" si="8"/>
        <v>0</v>
      </c>
      <c r="J87" s="25">
        <f t="shared" si="9"/>
        <v>0</v>
      </c>
    </row>
    <row r="88" spans="1:10" x14ac:dyDescent="0.25">
      <c r="A88" s="3">
        <v>42455</v>
      </c>
      <c r="B88" s="12" t="str">
        <f t="shared" si="5"/>
        <v>Fri</v>
      </c>
      <c r="C88" s="7">
        <f t="shared" si="6"/>
        <v>13</v>
      </c>
      <c r="H88" s="25">
        <f t="shared" si="7"/>
        <v>7.8</v>
      </c>
      <c r="I88" s="25">
        <f t="shared" si="8"/>
        <v>0</v>
      </c>
      <c r="J88" s="25">
        <f t="shared" si="9"/>
        <v>0</v>
      </c>
    </row>
    <row r="89" spans="1:10" x14ac:dyDescent="0.25">
      <c r="A89" s="3">
        <v>42456</v>
      </c>
      <c r="B89" s="12" t="str">
        <f t="shared" si="5"/>
        <v>Sat</v>
      </c>
      <c r="C89" s="7">
        <f t="shared" si="6"/>
        <v>13</v>
      </c>
      <c r="H89" s="25">
        <f t="shared" si="7"/>
        <v>0</v>
      </c>
      <c r="I89" s="25">
        <f t="shared" si="8"/>
        <v>0</v>
      </c>
      <c r="J89" s="25">
        <f t="shared" si="9"/>
        <v>0</v>
      </c>
    </row>
    <row r="90" spans="1:10" x14ac:dyDescent="0.25">
      <c r="A90" s="3">
        <v>42457</v>
      </c>
      <c r="B90" s="12" t="str">
        <f t="shared" si="5"/>
        <v>Sun</v>
      </c>
      <c r="C90" s="7">
        <f t="shared" si="6"/>
        <v>13</v>
      </c>
      <c r="H90" s="25">
        <f t="shared" si="7"/>
        <v>0</v>
      </c>
      <c r="I90" s="25">
        <f t="shared" si="8"/>
        <v>0</v>
      </c>
      <c r="J90" s="25">
        <f t="shared" si="9"/>
        <v>0</v>
      </c>
    </row>
    <row r="91" spans="1:10" x14ac:dyDescent="0.25">
      <c r="A91" s="3">
        <v>42458</v>
      </c>
      <c r="B91" s="12" t="str">
        <f t="shared" si="5"/>
        <v>Mon</v>
      </c>
      <c r="C91" s="7">
        <f t="shared" si="6"/>
        <v>14</v>
      </c>
      <c r="H91" s="25">
        <f t="shared" si="7"/>
        <v>7.8</v>
      </c>
      <c r="I91" s="25">
        <f t="shared" si="8"/>
        <v>0</v>
      </c>
      <c r="J91" s="25">
        <f t="shared" si="9"/>
        <v>0</v>
      </c>
    </row>
    <row r="92" spans="1:10" x14ac:dyDescent="0.25">
      <c r="A92" s="3">
        <v>42459</v>
      </c>
      <c r="B92" s="12" t="str">
        <f t="shared" si="5"/>
        <v>Tue</v>
      </c>
      <c r="C92" s="7">
        <f t="shared" si="6"/>
        <v>14</v>
      </c>
      <c r="H92" s="25">
        <f t="shared" si="7"/>
        <v>7.8</v>
      </c>
      <c r="I92" s="25">
        <f t="shared" si="8"/>
        <v>0</v>
      </c>
      <c r="J92" s="25">
        <f t="shared" si="9"/>
        <v>0</v>
      </c>
    </row>
    <row r="93" spans="1:10" x14ac:dyDescent="0.25">
      <c r="A93" s="3">
        <v>42460</v>
      </c>
      <c r="B93" s="12" t="str">
        <f t="shared" si="5"/>
        <v>Wed</v>
      </c>
      <c r="C93" s="7">
        <f t="shared" si="6"/>
        <v>14</v>
      </c>
      <c r="H93" s="25">
        <f t="shared" si="7"/>
        <v>7.8</v>
      </c>
      <c r="I93" s="25">
        <f t="shared" si="8"/>
        <v>0</v>
      </c>
      <c r="J93" s="25">
        <f t="shared" si="9"/>
        <v>0</v>
      </c>
    </row>
    <row r="94" spans="1:10" x14ac:dyDescent="0.25">
      <c r="A94" s="3">
        <v>42461</v>
      </c>
      <c r="B94" s="12" t="str">
        <f t="shared" si="5"/>
        <v>Thu</v>
      </c>
      <c r="C94" s="7">
        <f t="shared" si="6"/>
        <v>14</v>
      </c>
      <c r="H94" s="25">
        <f t="shared" si="7"/>
        <v>7.8</v>
      </c>
      <c r="I94" s="25">
        <f t="shared" si="8"/>
        <v>0</v>
      </c>
      <c r="J94" s="25">
        <f t="shared" si="9"/>
        <v>0</v>
      </c>
    </row>
    <row r="95" spans="1:10" x14ac:dyDescent="0.25">
      <c r="A95" s="3">
        <v>42462</v>
      </c>
      <c r="B95" s="12" t="str">
        <f t="shared" si="5"/>
        <v>Fri</v>
      </c>
      <c r="C95" s="7">
        <f t="shared" si="6"/>
        <v>14</v>
      </c>
      <c r="H95" s="25">
        <f t="shared" si="7"/>
        <v>7.8</v>
      </c>
      <c r="I95" s="25">
        <f t="shared" si="8"/>
        <v>0</v>
      </c>
      <c r="J95" s="25">
        <f t="shared" si="9"/>
        <v>0</v>
      </c>
    </row>
    <row r="96" spans="1:10" x14ac:dyDescent="0.25">
      <c r="A96" s="3">
        <v>42463</v>
      </c>
      <c r="B96" s="12" t="str">
        <f t="shared" si="5"/>
        <v>Sat</v>
      </c>
      <c r="C96" s="7">
        <f t="shared" si="6"/>
        <v>14</v>
      </c>
      <c r="H96" s="25">
        <f t="shared" si="7"/>
        <v>0</v>
      </c>
      <c r="I96" s="25">
        <f t="shared" si="8"/>
        <v>0</v>
      </c>
      <c r="J96" s="25">
        <f t="shared" si="9"/>
        <v>0</v>
      </c>
    </row>
    <row r="97" spans="1:10" x14ac:dyDescent="0.25">
      <c r="A97" s="3">
        <v>42464</v>
      </c>
      <c r="B97" s="12" t="str">
        <f t="shared" si="5"/>
        <v>Sun</v>
      </c>
      <c r="C97" s="7">
        <f t="shared" si="6"/>
        <v>14</v>
      </c>
      <c r="H97" s="25">
        <f t="shared" si="7"/>
        <v>0</v>
      </c>
      <c r="I97" s="25">
        <f t="shared" si="8"/>
        <v>0</v>
      </c>
      <c r="J97" s="25">
        <f t="shared" si="9"/>
        <v>0</v>
      </c>
    </row>
    <row r="98" spans="1:10" x14ac:dyDescent="0.25">
      <c r="A98" s="3">
        <v>42465</v>
      </c>
      <c r="B98" s="12" t="str">
        <f t="shared" si="5"/>
        <v>Mon</v>
      </c>
      <c r="C98" s="7">
        <f t="shared" si="6"/>
        <v>15</v>
      </c>
      <c r="H98" s="25">
        <f t="shared" si="7"/>
        <v>7.8</v>
      </c>
      <c r="I98" s="25">
        <f t="shared" si="8"/>
        <v>0</v>
      </c>
      <c r="J98" s="25">
        <f t="shared" si="9"/>
        <v>0</v>
      </c>
    </row>
    <row r="99" spans="1:10" x14ac:dyDescent="0.25">
      <c r="A99" s="3">
        <v>42466</v>
      </c>
      <c r="B99" s="12" t="str">
        <f t="shared" si="5"/>
        <v>Tue</v>
      </c>
      <c r="C99" s="7">
        <f t="shared" si="6"/>
        <v>15</v>
      </c>
      <c r="H99" s="25">
        <f t="shared" si="7"/>
        <v>7.8</v>
      </c>
      <c r="I99" s="25">
        <f t="shared" si="8"/>
        <v>0</v>
      </c>
      <c r="J99" s="25">
        <f t="shared" si="9"/>
        <v>0</v>
      </c>
    </row>
    <row r="100" spans="1:10" x14ac:dyDescent="0.25">
      <c r="A100" s="3">
        <v>42467</v>
      </c>
      <c r="B100" s="12" t="str">
        <f t="shared" si="5"/>
        <v>Wed</v>
      </c>
      <c r="C100" s="7">
        <f t="shared" si="6"/>
        <v>15</v>
      </c>
      <c r="H100" s="25">
        <f t="shared" si="7"/>
        <v>7.8</v>
      </c>
      <c r="I100" s="25">
        <f t="shared" si="8"/>
        <v>0</v>
      </c>
      <c r="J100" s="25">
        <f t="shared" si="9"/>
        <v>0</v>
      </c>
    </row>
    <row r="101" spans="1:10" x14ac:dyDescent="0.25">
      <c r="A101" s="3">
        <v>42468</v>
      </c>
      <c r="B101" s="12" t="str">
        <f t="shared" si="5"/>
        <v>Thu</v>
      </c>
      <c r="C101" s="7">
        <f t="shared" si="6"/>
        <v>15</v>
      </c>
      <c r="H101" s="25">
        <f t="shared" si="7"/>
        <v>7.8</v>
      </c>
      <c r="I101" s="25">
        <f t="shared" si="8"/>
        <v>0</v>
      </c>
      <c r="J101" s="25">
        <f t="shared" si="9"/>
        <v>0</v>
      </c>
    </row>
    <row r="102" spans="1:10" x14ac:dyDescent="0.25">
      <c r="A102" s="3">
        <v>42469</v>
      </c>
      <c r="B102" s="12" t="str">
        <f t="shared" si="5"/>
        <v>Fri</v>
      </c>
      <c r="C102" s="7">
        <f t="shared" si="6"/>
        <v>15</v>
      </c>
      <c r="H102" s="25">
        <f t="shared" si="7"/>
        <v>7.8</v>
      </c>
      <c r="I102" s="25">
        <f t="shared" si="8"/>
        <v>0</v>
      </c>
      <c r="J102" s="25">
        <f t="shared" si="9"/>
        <v>0</v>
      </c>
    </row>
    <row r="103" spans="1:10" x14ac:dyDescent="0.25">
      <c r="A103" s="3">
        <v>42470</v>
      </c>
      <c r="B103" s="12" t="str">
        <f t="shared" si="5"/>
        <v>Sat</v>
      </c>
      <c r="C103" s="7">
        <f t="shared" si="6"/>
        <v>15</v>
      </c>
      <c r="H103" s="25">
        <f t="shared" si="7"/>
        <v>0</v>
      </c>
      <c r="I103" s="25">
        <f t="shared" si="8"/>
        <v>0</v>
      </c>
      <c r="J103" s="25">
        <f t="shared" si="9"/>
        <v>0</v>
      </c>
    </row>
    <row r="104" spans="1:10" x14ac:dyDescent="0.25">
      <c r="A104" s="3">
        <v>42471</v>
      </c>
      <c r="B104" s="12" t="str">
        <f t="shared" si="5"/>
        <v>Sun</v>
      </c>
      <c r="C104" s="7">
        <f t="shared" si="6"/>
        <v>15</v>
      </c>
      <c r="H104" s="25">
        <f t="shared" si="7"/>
        <v>0</v>
      </c>
      <c r="I104" s="25">
        <f t="shared" si="8"/>
        <v>0</v>
      </c>
      <c r="J104" s="25">
        <f t="shared" si="9"/>
        <v>0</v>
      </c>
    </row>
    <row r="105" spans="1:10" x14ac:dyDescent="0.25">
      <c r="A105" s="3">
        <v>42472</v>
      </c>
      <c r="B105" s="12" t="str">
        <f t="shared" si="5"/>
        <v>Mon</v>
      </c>
      <c r="C105" s="7">
        <f t="shared" si="6"/>
        <v>16</v>
      </c>
      <c r="H105" s="25">
        <f t="shared" si="7"/>
        <v>7.8</v>
      </c>
      <c r="I105" s="25">
        <f t="shared" si="8"/>
        <v>0</v>
      </c>
      <c r="J105" s="25">
        <f t="shared" si="9"/>
        <v>0</v>
      </c>
    </row>
    <row r="106" spans="1:10" x14ac:dyDescent="0.25">
      <c r="A106" s="3">
        <v>42473</v>
      </c>
      <c r="B106" s="12" t="str">
        <f t="shared" si="5"/>
        <v>Tue</v>
      </c>
      <c r="C106" s="7">
        <f t="shared" si="6"/>
        <v>16</v>
      </c>
      <c r="H106" s="25">
        <f t="shared" si="7"/>
        <v>7.8</v>
      </c>
      <c r="I106" s="25">
        <f t="shared" si="8"/>
        <v>0</v>
      </c>
      <c r="J106" s="25">
        <f t="shared" si="9"/>
        <v>0</v>
      </c>
    </row>
    <row r="107" spans="1:10" x14ac:dyDescent="0.25">
      <c r="A107" s="3">
        <v>42474</v>
      </c>
      <c r="B107" s="12" t="str">
        <f t="shared" si="5"/>
        <v>Wed</v>
      </c>
      <c r="C107" s="7">
        <f t="shared" si="6"/>
        <v>16</v>
      </c>
      <c r="H107" s="25">
        <f t="shared" si="7"/>
        <v>7.8</v>
      </c>
      <c r="I107" s="25">
        <f t="shared" si="8"/>
        <v>0</v>
      </c>
      <c r="J107" s="25">
        <f t="shared" si="9"/>
        <v>0</v>
      </c>
    </row>
    <row r="108" spans="1:10" x14ac:dyDescent="0.25">
      <c r="A108" s="3">
        <v>42475</v>
      </c>
      <c r="B108" s="12" t="str">
        <f t="shared" si="5"/>
        <v>Thu</v>
      </c>
      <c r="C108" s="7">
        <f t="shared" si="6"/>
        <v>16</v>
      </c>
      <c r="H108" s="25">
        <f t="shared" si="7"/>
        <v>7.8</v>
      </c>
      <c r="I108" s="25">
        <f t="shared" si="8"/>
        <v>0</v>
      </c>
      <c r="J108" s="25">
        <f t="shared" si="9"/>
        <v>0</v>
      </c>
    </row>
    <row r="109" spans="1:10" x14ac:dyDescent="0.25">
      <c r="A109" s="3">
        <v>42476</v>
      </c>
      <c r="B109" s="12" t="str">
        <f t="shared" si="5"/>
        <v>Fri</v>
      </c>
      <c r="C109" s="7">
        <f t="shared" si="6"/>
        <v>16</v>
      </c>
      <c r="H109" s="25">
        <f t="shared" si="7"/>
        <v>7.8</v>
      </c>
      <c r="I109" s="25">
        <f t="shared" si="8"/>
        <v>0</v>
      </c>
      <c r="J109" s="25">
        <f t="shared" si="9"/>
        <v>0</v>
      </c>
    </row>
    <row r="110" spans="1:10" x14ac:dyDescent="0.25">
      <c r="A110" s="3">
        <v>42477</v>
      </c>
      <c r="B110" s="12" t="str">
        <f t="shared" si="5"/>
        <v>Sat</v>
      </c>
      <c r="C110" s="7">
        <f t="shared" si="6"/>
        <v>16</v>
      </c>
      <c r="H110" s="25">
        <f t="shared" si="7"/>
        <v>0</v>
      </c>
      <c r="I110" s="25">
        <f t="shared" si="8"/>
        <v>0</v>
      </c>
      <c r="J110" s="25">
        <f t="shared" si="9"/>
        <v>0</v>
      </c>
    </row>
    <row r="111" spans="1:10" x14ac:dyDescent="0.25">
      <c r="A111" s="3">
        <v>42478</v>
      </c>
      <c r="B111" s="12" t="str">
        <f t="shared" si="5"/>
        <v>Sun</v>
      </c>
      <c r="C111" s="7">
        <f t="shared" si="6"/>
        <v>16</v>
      </c>
      <c r="H111" s="25">
        <f t="shared" si="7"/>
        <v>0</v>
      </c>
      <c r="I111" s="25">
        <f t="shared" si="8"/>
        <v>0</v>
      </c>
      <c r="J111" s="25">
        <f t="shared" si="9"/>
        <v>0</v>
      </c>
    </row>
    <row r="112" spans="1:10" x14ac:dyDescent="0.25">
      <c r="A112" s="3">
        <v>42479</v>
      </c>
      <c r="B112" s="12" t="str">
        <f t="shared" si="5"/>
        <v>Mon</v>
      </c>
      <c r="C112" s="7">
        <f t="shared" si="6"/>
        <v>17</v>
      </c>
      <c r="H112" s="25">
        <f t="shared" si="7"/>
        <v>7.8</v>
      </c>
      <c r="I112" s="25">
        <f t="shared" si="8"/>
        <v>0</v>
      </c>
      <c r="J112" s="25">
        <f t="shared" si="9"/>
        <v>0</v>
      </c>
    </row>
    <row r="113" spans="1:10" x14ac:dyDescent="0.25">
      <c r="A113" s="3">
        <v>42480</v>
      </c>
      <c r="B113" s="12" t="str">
        <f t="shared" si="5"/>
        <v>Tue</v>
      </c>
      <c r="C113" s="7">
        <f t="shared" si="6"/>
        <v>17</v>
      </c>
      <c r="H113" s="25">
        <f t="shared" si="7"/>
        <v>7.8</v>
      </c>
      <c r="I113" s="25">
        <f t="shared" si="8"/>
        <v>0</v>
      </c>
      <c r="J113" s="25">
        <f t="shared" si="9"/>
        <v>0</v>
      </c>
    </row>
    <row r="114" spans="1:10" x14ac:dyDescent="0.25">
      <c r="A114" s="3">
        <v>42481</v>
      </c>
      <c r="B114" s="12" t="str">
        <f t="shared" si="5"/>
        <v>Wed</v>
      </c>
      <c r="C114" s="7">
        <f t="shared" si="6"/>
        <v>17</v>
      </c>
      <c r="H114" s="25">
        <f t="shared" si="7"/>
        <v>7.8</v>
      </c>
      <c r="I114" s="25">
        <f t="shared" si="8"/>
        <v>0</v>
      </c>
      <c r="J114" s="25">
        <f t="shared" si="9"/>
        <v>0</v>
      </c>
    </row>
    <row r="115" spans="1:10" x14ac:dyDescent="0.25">
      <c r="A115" s="3">
        <v>42482</v>
      </c>
      <c r="B115" s="12" t="str">
        <f t="shared" si="5"/>
        <v>Thu</v>
      </c>
      <c r="C115" s="7">
        <f t="shared" si="6"/>
        <v>17</v>
      </c>
      <c r="H115" s="25">
        <f t="shared" si="7"/>
        <v>7.8</v>
      </c>
      <c r="I115" s="25">
        <f t="shared" si="8"/>
        <v>0</v>
      </c>
      <c r="J115" s="25">
        <f t="shared" si="9"/>
        <v>0</v>
      </c>
    </row>
    <row r="116" spans="1:10" x14ac:dyDescent="0.25">
      <c r="A116" s="3">
        <v>42483</v>
      </c>
      <c r="B116" s="12" t="str">
        <f t="shared" si="5"/>
        <v>Fri</v>
      </c>
      <c r="C116" s="7">
        <f t="shared" si="6"/>
        <v>17</v>
      </c>
      <c r="H116" s="25">
        <f t="shared" si="7"/>
        <v>7.8</v>
      </c>
      <c r="I116" s="25">
        <f t="shared" si="8"/>
        <v>0</v>
      </c>
      <c r="J116" s="25">
        <f t="shared" si="9"/>
        <v>0</v>
      </c>
    </row>
    <row r="117" spans="1:10" x14ac:dyDescent="0.25">
      <c r="A117" s="3">
        <v>42484</v>
      </c>
      <c r="B117" s="12" t="str">
        <f t="shared" si="5"/>
        <v>Sat</v>
      </c>
      <c r="C117" s="7">
        <f t="shared" si="6"/>
        <v>17</v>
      </c>
      <c r="H117" s="25">
        <f t="shared" si="7"/>
        <v>0</v>
      </c>
      <c r="I117" s="25">
        <f t="shared" si="8"/>
        <v>0</v>
      </c>
      <c r="J117" s="25">
        <f t="shared" si="9"/>
        <v>0</v>
      </c>
    </row>
    <row r="118" spans="1:10" x14ac:dyDescent="0.25">
      <c r="A118" s="3">
        <v>42485</v>
      </c>
      <c r="B118" s="12" t="str">
        <f t="shared" si="5"/>
        <v>Sun</v>
      </c>
      <c r="C118" s="7">
        <f t="shared" si="6"/>
        <v>17</v>
      </c>
      <c r="H118" s="25">
        <f t="shared" si="7"/>
        <v>0</v>
      </c>
      <c r="I118" s="25">
        <f t="shared" si="8"/>
        <v>0</v>
      </c>
      <c r="J118" s="25">
        <f t="shared" si="9"/>
        <v>0</v>
      </c>
    </row>
    <row r="119" spans="1:10" x14ac:dyDescent="0.25">
      <c r="A119" s="3">
        <v>42486</v>
      </c>
      <c r="B119" s="12" t="str">
        <f t="shared" si="5"/>
        <v>Mon</v>
      </c>
      <c r="C119" s="7">
        <f t="shared" si="6"/>
        <v>18</v>
      </c>
      <c r="H119" s="25">
        <f t="shared" si="7"/>
        <v>7.8</v>
      </c>
      <c r="I119" s="25">
        <f t="shared" si="8"/>
        <v>0</v>
      </c>
      <c r="J119" s="25">
        <f t="shared" si="9"/>
        <v>0</v>
      </c>
    </row>
    <row r="120" spans="1:10" x14ac:dyDescent="0.25">
      <c r="A120" s="3">
        <v>42487</v>
      </c>
      <c r="B120" s="12" t="str">
        <f t="shared" si="5"/>
        <v>Tue</v>
      </c>
      <c r="C120" s="7">
        <f t="shared" si="6"/>
        <v>18</v>
      </c>
      <c r="H120" s="25">
        <f t="shared" si="7"/>
        <v>7.8</v>
      </c>
      <c r="I120" s="25">
        <f t="shared" si="8"/>
        <v>0</v>
      </c>
      <c r="J120" s="25">
        <f t="shared" si="9"/>
        <v>0</v>
      </c>
    </row>
    <row r="121" spans="1:10" x14ac:dyDescent="0.25">
      <c r="A121" s="3">
        <v>42488</v>
      </c>
      <c r="B121" s="12" t="str">
        <f t="shared" si="5"/>
        <v>Wed</v>
      </c>
      <c r="C121" s="7">
        <f t="shared" si="6"/>
        <v>18</v>
      </c>
      <c r="H121" s="25">
        <f t="shared" si="7"/>
        <v>7.8</v>
      </c>
      <c r="I121" s="25">
        <f t="shared" si="8"/>
        <v>0</v>
      </c>
      <c r="J121" s="25">
        <f t="shared" si="9"/>
        <v>0</v>
      </c>
    </row>
    <row r="122" spans="1:10" x14ac:dyDescent="0.25">
      <c r="A122" s="3">
        <v>42489</v>
      </c>
      <c r="B122" s="12" t="str">
        <f t="shared" si="5"/>
        <v>Thu</v>
      </c>
      <c r="C122" s="7">
        <f t="shared" si="6"/>
        <v>18</v>
      </c>
      <c r="H122" s="25">
        <f t="shared" si="7"/>
        <v>7.8</v>
      </c>
      <c r="I122" s="25">
        <f t="shared" si="8"/>
        <v>0</v>
      </c>
      <c r="J122" s="25">
        <f t="shared" si="9"/>
        <v>0</v>
      </c>
    </row>
    <row r="123" spans="1:10" x14ac:dyDescent="0.25">
      <c r="A123" s="3">
        <v>42490</v>
      </c>
      <c r="B123" s="12" t="str">
        <f t="shared" si="5"/>
        <v>Fri</v>
      </c>
      <c r="C123" s="7">
        <f t="shared" si="6"/>
        <v>18</v>
      </c>
      <c r="H123" s="25">
        <f t="shared" si="7"/>
        <v>7.8</v>
      </c>
      <c r="I123" s="25">
        <f t="shared" si="8"/>
        <v>0</v>
      </c>
      <c r="J123" s="25">
        <f t="shared" si="9"/>
        <v>0</v>
      </c>
    </row>
    <row r="124" spans="1:10" x14ac:dyDescent="0.25">
      <c r="A124" s="3">
        <v>42491</v>
      </c>
      <c r="B124" s="12" t="str">
        <f t="shared" si="5"/>
        <v>Sat</v>
      </c>
      <c r="C124" s="7">
        <f t="shared" si="6"/>
        <v>18</v>
      </c>
      <c r="H124" s="25">
        <f t="shared" si="7"/>
        <v>0</v>
      </c>
      <c r="I124" s="25">
        <f t="shared" si="8"/>
        <v>0</v>
      </c>
      <c r="J124" s="25">
        <f t="shared" si="9"/>
        <v>0</v>
      </c>
    </row>
    <row r="125" spans="1:10" x14ac:dyDescent="0.25">
      <c r="A125" s="3">
        <v>42492</v>
      </c>
      <c r="B125" s="12" t="str">
        <f t="shared" si="5"/>
        <v>Sun</v>
      </c>
      <c r="C125" s="7">
        <f t="shared" si="6"/>
        <v>18</v>
      </c>
      <c r="H125" s="25">
        <f t="shared" si="7"/>
        <v>0</v>
      </c>
      <c r="I125" s="25">
        <f t="shared" si="8"/>
        <v>0</v>
      </c>
      <c r="J125" s="25">
        <f t="shared" si="9"/>
        <v>0</v>
      </c>
    </row>
    <row r="126" spans="1:10" x14ac:dyDescent="0.25">
      <c r="A126" s="3">
        <v>42493</v>
      </c>
      <c r="B126" s="12" t="str">
        <f t="shared" si="5"/>
        <v>Mon</v>
      </c>
      <c r="C126" s="7">
        <f t="shared" si="6"/>
        <v>19</v>
      </c>
      <c r="H126" s="25">
        <f t="shared" si="7"/>
        <v>7.8</v>
      </c>
      <c r="I126" s="25">
        <f t="shared" si="8"/>
        <v>0</v>
      </c>
      <c r="J126" s="25">
        <f t="shared" si="9"/>
        <v>0</v>
      </c>
    </row>
    <row r="127" spans="1:10" x14ac:dyDescent="0.25">
      <c r="A127" s="3">
        <v>42494</v>
      </c>
      <c r="B127" s="12" t="str">
        <f t="shared" si="5"/>
        <v>Tue</v>
      </c>
      <c r="C127" s="7">
        <f t="shared" si="6"/>
        <v>19</v>
      </c>
      <c r="H127" s="25">
        <f t="shared" si="7"/>
        <v>7.8</v>
      </c>
      <c r="I127" s="25">
        <f t="shared" si="8"/>
        <v>0</v>
      </c>
      <c r="J127" s="25">
        <f t="shared" si="9"/>
        <v>0</v>
      </c>
    </row>
    <row r="128" spans="1:10" x14ac:dyDescent="0.25">
      <c r="A128" s="3">
        <v>42495</v>
      </c>
      <c r="B128" s="12" t="str">
        <f t="shared" si="5"/>
        <v>Wed</v>
      </c>
      <c r="C128" s="7">
        <f t="shared" si="6"/>
        <v>19</v>
      </c>
      <c r="H128" s="25">
        <f t="shared" si="7"/>
        <v>7.8</v>
      </c>
      <c r="I128" s="25">
        <f t="shared" si="8"/>
        <v>0</v>
      </c>
      <c r="J128" s="25">
        <f t="shared" si="9"/>
        <v>0</v>
      </c>
    </row>
    <row r="129" spans="1:10" x14ac:dyDescent="0.25">
      <c r="A129" s="3">
        <v>42496</v>
      </c>
      <c r="B129" s="12" t="str">
        <f t="shared" si="5"/>
        <v>Thu</v>
      </c>
      <c r="C129" s="7">
        <f t="shared" si="6"/>
        <v>19</v>
      </c>
      <c r="H129" s="25">
        <f t="shared" si="7"/>
        <v>7.8</v>
      </c>
      <c r="I129" s="25">
        <f t="shared" si="8"/>
        <v>0</v>
      </c>
      <c r="J129" s="25">
        <f t="shared" si="9"/>
        <v>0</v>
      </c>
    </row>
    <row r="130" spans="1:10" x14ac:dyDescent="0.25">
      <c r="A130" s="3">
        <v>42497</v>
      </c>
      <c r="B130" s="12" t="str">
        <f t="shared" ref="B130:B193" si="10">CHOOSE(WEEKDAY($A130,2),"Mon","Tue","Wed","Thu","Fri","Sat","Sun")</f>
        <v>Fri</v>
      </c>
      <c r="C130" s="7">
        <f t="shared" ref="C130:C193" si="11">_xlfn.ISOWEEKNUM($A130)</f>
        <v>19</v>
      </c>
      <c r="H130" s="25">
        <f t="shared" ref="H130:H193" si="12">IF(AND(WEEKDAY($A130,2)&lt;=5,COUNTIF(timeaway_types, $D130)=0),7.8,0)</f>
        <v>7.8</v>
      </c>
      <c r="I130" s="25">
        <f t="shared" ref="I130:I193" si="13">IF(COUNTIF(nonprod_types, $D130)&gt;0,0, (($F130-$E130)-$G130)*24)</f>
        <v>0</v>
      </c>
      <c r="J130" s="25">
        <f t="shared" si="9"/>
        <v>0</v>
      </c>
    </row>
    <row r="131" spans="1:10" x14ac:dyDescent="0.25">
      <c r="A131" s="3">
        <v>42498</v>
      </c>
      <c r="B131" s="12" t="str">
        <f t="shared" si="10"/>
        <v>Sat</v>
      </c>
      <c r="C131" s="7">
        <f t="shared" si="11"/>
        <v>19</v>
      </c>
      <c r="H131" s="25">
        <f t="shared" si="12"/>
        <v>0</v>
      </c>
      <c r="I131" s="25">
        <f t="shared" si="13"/>
        <v>0</v>
      </c>
      <c r="J131" s="25">
        <f t="shared" ref="J131:J194" si="14">IF(D131="",0,$I131-$H131)</f>
        <v>0</v>
      </c>
    </row>
    <row r="132" spans="1:10" x14ac:dyDescent="0.25">
      <c r="A132" s="3">
        <v>42499</v>
      </c>
      <c r="B132" s="12" t="str">
        <f t="shared" si="10"/>
        <v>Sun</v>
      </c>
      <c r="C132" s="7">
        <f t="shared" si="11"/>
        <v>19</v>
      </c>
      <c r="H132" s="25">
        <f t="shared" si="12"/>
        <v>0</v>
      </c>
      <c r="I132" s="25">
        <f t="shared" si="13"/>
        <v>0</v>
      </c>
      <c r="J132" s="25">
        <f t="shared" si="14"/>
        <v>0</v>
      </c>
    </row>
    <row r="133" spans="1:10" x14ac:dyDescent="0.25">
      <c r="A133" s="3">
        <v>42500</v>
      </c>
      <c r="B133" s="12" t="str">
        <f t="shared" si="10"/>
        <v>Mon</v>
      </c>
      <c r="C133" s="7">
        <f t="shared" si="11"/>
        <v>20</v>
      </c>
      <c r="H133" s="25">
        <f t="shared" si="12"/>
        <v>7.8</v>
      </c>
      <c r="I133" s="25">
        <f t="shared" si="13"/>
        <v>0</v>
      </c>
      <c r="J133" s="25">
        <f t="shared" si="14"/>
        <v>0</v>
      </c>
    </row>
    <row r="134" spans="1:10" x14ac:dyDescent="0.25">
      <c r="A134" s="3">
        <v>42501</v>
      </c>
      <c r="B134" s="12" t="str">
        <f t="shared" si="10"/>
        <v>Tue</v>
      </c>
      <c r="C134" s="7">
        <f t="shared" si="11"/>
        <v>20</v>
      </c>
      <c r="H134" s="25">
        <f t="shared" si="12"/>
        <v>7.8</v>
      </c>
      <c r="I134" s="25">
        <f t="shared" si="13"/>
        <v>0</v>
      </c>
      <c r="J134" s="25">
        <f t="shared" si="14"/>
        <v>0</v>
      </c>
    </row>
    <row r="135" spans="1:10" x14ac:dyDescent="0.25">
      <c r="A135" s="3">
        <v>42502</v>
      </c>
      <c r="B135" s="12" t="str">
        <f t="shared" si="10"/>
        <v>Wed</v>
      </c>
      <c r="C135" s="7">
        <f t="shared" si="11"/>
        <v>20</v>
      </c>
      <c r="H135" s="25">
        <f t="shared" si="12"/>
        <v>7.8</v>
      </c>
      <c r="I135" s="25">
        <f t="shared" si="13"/>
        <v>0</v>
      </c>
      <c r="J135" s="25">
        <f t="shared" si="14"/>
        <v>0</v>
      </c>
    </row>
    <row r="136" spans="1:10" x14ac:dyDescent="0.25">
      <c r="A136" s="3">
        <v>42503</v>
      </c>
      <c r="B136" s="12" t="str">
        <f t="shared" si="10"/>
        <v>Thu</v>
      </c>
      <c r="C136" s="7">
        <f t="shared" si="11"/>
        <v>20</v>
      </c>
      <c r="H136" s="25">
        <f t="shared" si="12"/>
        <v>7.8</v>
      </c>
      <c r="I136" s="25">
        <f t="shared" si="13"/>
        <v>0</v>
      </c>
      <c r="J136" s="25">
        <f t="shared" si="14"/>
        <v>0</v>
      </c>
    </row>
    <row r="137" spans="1:10" x14ac:dyDescent="0.25">
      <c r="A137" s="3">
        <v>42504</v>
      </c>
      <c r="B137" s="12" t="str">
        <f t="shared" si="10"/>
        <v>Fri</v>
      </c>
      <c r="C137" s="7">
        <f t="shared" si="11"/>
        <v>20</v>
      </c>
      <c r="H137" s="25">
        <f t="shared" si="12"/>
        <v>7.8</v>
      </c>
      <c r="I137" s="25">
        <f t="shared" si="13"/>
        <v>0</v>
      </c>
      <c r="J137" s="25">
        <f t="shared" si="14"/>
        <v>0</v>
      </c>
    </row>
    <row r="138" spans="1:10" x14ac:dyDescent="0.25">
      <c r="A138" s="3">
        <v>42505</v>
      </c>
      <c r="B138" s="12" t="str">
        <f t="shared" si="10"/>
        <v>Sat</v>
      </c>
      <c r="C138" s="7">
        <f t="shared" si="11"/>
        <v>20</v>
      </c>
      <c r="H138" s="25">
        <f t="shared" si="12"/>
        <v>0</v>
      </c>
      <c r="I138" s="25">
        <f t="shared" si="13"/>
        <v>0</v>
      </c>
      <c r="J138" s="25">
        <f t="shared" si="14"/>
        <v>0</v>
      </c>
    </row>
    <row r="139" spans="1:10" x14ac:dyDescent="0.25">
      <c r="A139" s="3">
        <v>42506</v>
      </c>
      <c r="B139" s="12" t="str">
        <f t="shared" si="10"/>
        <v>Sun</v>
      </c>
      <c r="C139" s="7">
        <f t="shared" si="11"/>
        <v>20</v>
      </c>
      <c r="H139" s="25">
        <f t="shared" si="12"/>
        <v>0</v>
      </c>
      <c r="I139" s="25">
        <f t="shared" si="13"/>
        <v>0</v>
      </c>
      <c r="J139" s="25">
        <f t="shared" si="14"/>
        <v>0</v>
      </c>
    </row>
    <row r="140" spans="1:10" x14ac:dyDescent="0.25">
      <c r="A140" s="3">
        <v>42507</v>
      </c>
      <c r="B140" s="12" t="str">
        <f t="shared" si="10"/>
        <v>Mon</v>
      </c>
      <c r="C140" s="7">
        <f t="shared" si="11"/>
        <v>21</v>
      </c>
      <c r="H140" s="25">
        <f t="shared" si="12"/>
        <v>7.8</v>
      </c>
      <c r="I140" s="25">
        <f t="shared" si="13"/>
        <v>0</v>
      </c>
      <c r="J140" s="25">
        <f t="shared" si="14"/>
        <v>0</v>
      </c>
    </row>
    <row r="141" spans="1:10" x14ac:dyDescent="0.25">
      <c r="A141" s="3">
        <v>42508</v>
      </c>
      <c r="B141" s="12" t="str">
        <f t="shared" si="10"/>
        <v>Tue</v>
      </c>
      <c r="C141" s="7">
        <f t="shared" si="11"/>
        <v>21</v>
      </c>
      <c r="H141" s="25">
        <f t="shared" si="12"/>
        <v>7.8</v>
      </c>
      <c r="I141" s="25">
        <f t="shared" si="13"/>
        <v>0</v>
      </c>
      <c r="J141" s="25">
        <f t="shared" si="14"/>
        <v>0</v>
      </c>
    </row>
    <row r="142" spans="1:10" x14ac:dyDescent="0.25">
      <c r="A142" s="3">
        <v>42509</v>
      </c>
      <c r="B142" s="12" t="str">
        <f t="shared" si="10"/>
        <v>Wed</v>
      </c>
      <c r="C142" s="7">
        <f t="shared" si="11"/>
        <v>21</v>
      </c>
      <c r="H142" s="25">
        <f t="shared" si="12"/>
        <v>7.8</v>
      </c>
      <c r="I142" s="25">
        <f t="shared" si="13"/>
        <v>0</v>
      </c>
      <c r="J142" s="25">
        <f t="shared" si="14"/>
        <v>0</v>
      </c>
    </row>
    <row r="143" spans="1:10" x14ac:dyDescent="0.25">
      <c r="A143" s="3">
        <v>42510</v>
      </c>
      <c r="B143" s="12" t="str">
        <f t="shared" si="10"/>
        <v>Thu</v>
      </c>
      <c r="C143" s="7">
        <f t="shared" si="11"/>
        <v>21</v>
      </c>
      <c r="H143" s="25">
        <f t="shared" si="12"/>
        <v>7.8</v>
      </c>
      <c r="I143" s="25">
        <f t="shared" si="13"/>
        <v>0</v>
      </c>
      <c r="J143" s="25">
        <f t="shared" si="14"/>
        <v>0</v>
      </c>
    </row>
    <row r="144" spans="1:10" x14ac:dyDescent="0.25">
      <c r="A144" s="3">
        <v>42511</v>
      </c>
      <c r="B144" s="12" t="str">
        <f t="shared" si="10"/>
        <v>Fri</v>
      </c>
      <c r="C144" s="7">
        <f t="shared" si="11"/>
        <v>21</v>
      </c>
      <c r="H144" s="25">
        <f t="shared" si="12"/>
        <v>7.8</v>
      </c>
      <c r="I144" s="25">
        <f t="shared" si="13"/>
        <v>0</v>
      </c>
      <c r="J144" s="25">
        <f t="shared" si="14"/>
        <v>0</v>
      </c>
    </row>
    <row r="145" spans="1:10" x14ac:dyDescent="0.25">
      <c r="A145" s="3">
        <v>42512</v>
      </c>
      <c r="B145" s="12" t="str">
        <f t="shared" si="10"/>
        <v>Sat</v>
      </c>
      <c r="C145" s="7">
        <f t="shared" si="11"/>
        <v>21</v>
      </c>
      <c r="H145" s="25">
        <f t="shared" si="12"/>
        <v>0</v>
      </c>
      <c r="I145" s="25">
        <f t="shared" si="13"/>
        <v>0</v>
      </c>
      <c r="J145" s="25">
        <f t="shared" si="14"/>
        <v>0</v>
      </c>
    </row>
    <row r="146" spans="1:10" x14ac:dyDescent="0.25">
      <c r="A146" s="3">
        <v>42513</v>
      </c>
      <c r="B146" s="12" t="str">
        <f t="shared" si="10"/>
        <v>Sun</v>
      </c>
      <c r="C146" s="7">
        <f t="shared" si="11"/>
        <v>21</v>
      </c>
      <c r="H146" s="25">
        <f t="shared" si="12"/>
        <v>0</v>
      </c>
      <c r="I146" s="25">
        <f t="shared" si="13"/>
        <v>0</v>
      </c>
      <c r="J146" s="25">
        <f t="shared" si="14"/>
        <v>0</v>
      </c>
    </row>
    <row r="147" spans="1:10" x14ac:dyDescent="0.25">
      <c r="A147" s="3">
        <v>42514</v>
      </c>
      <c r="B147" s="12" t="str">
        <f t="shared" si="10"/>
        <v>Mon</v>
      </c>
      <c r="C147" s="7">
        <f t="shared" si="11"/>
        <v>22</v>
      </c>
      <c r="H147" s="25">
        <f t="shared" si="12"/>
        <v>7.8</v>
      </c>
      <c r="I147" s="25">
        <f t="shared" si="13"/>
        <v>0</v>
      </c>
      <c r="J147" s="25">
        <f t="shared" si="14"/>
        <v>0</v>
      </c>
    </row>
    <row r="148" spans="1:10" x14ac:dyDescent="0.25">
      <c r="A148" s="3">
        <v>42515</v>
      </c>
      <c r="B148" s="12" t="str">
        <f t="shared" si="10"/>
        <v>Tue</v>
      </c>
      <c r="C148" s="7">
        <f t="shared" si="11"/>
        <v>22</v>
      </c>
      <c r="H148" s="25">
        <f t="shared" si="12"/>
        <v>7.8</v>
      </c>
      <c r="I148" s="25">
        <f t="shared" si="13"/>
        <v>0</v>
      </c>
      <c r="J148" s="25">
        <f t="shared" si="14"/>
        <v>0</v>
      </c>
    </row>
    <row r="149" spans="1:10" x14ac:dyDescent="0.25">
      <c r="A149" s="3">
        <v>42516</v>
      </c>
      <c r="B149" s="12" t="str">
        <f t="shared" si="10"/>
        <v>Wed</v>
      </c>
      <c r="C149" s="7">
        <f t="shared" si="11"/>
        <v>22</v>
      </c>
      <c r="H149" s="25">
        <f t="shared" si="12"/>
        <v>7.8</v>
      </c>
      <c r="I149" s="25">
        <f t="shared" si="13"/>
        <v>0</v>
      </c>
      <c r="J149" s="25">
        <f t="shared" si="14"/>
        <v>0</v>
      </c>
    </row>
    <row r="150" spans="1:10" x14ac:dyDescent="0.25">
      <c r="A150" s="3">
        <v>42517</v>
      </c>
      <c r="B150" s="12" t="str">
        <f t="shared" si="10"/>
        <v>Thu</v>
      </c>
      <c r="C150" s="7">
        <f t="shared" si="11"/>
        <v>22</v>
      </c>
      <c r="H150" s="25">
        <f t="shared" si="12"/>
        <v>7.8</v>
      </c>
      <c r="I150" s="25">
        <f t="shared" si="13"/>
        <v>0</v>
      </c>
      <c r="J150" s="25">
        <f t="shared" si="14"/>
        <v>0</v>
      </c>
    </row>
    <row r="151" spans="1:10" x14ac:dyDescent="0.25">
      <c r="A151" s="3">
        <v>42518</v>
      </c>
      <c r="B151" s="12" t="str">
        <f t="shared" si="10"/>
        <v>Fri</v>
      </c>
      <c r="C151" s="7">
        <f t="shared" si="11"/>
        <v>22</v>
      </c>
      <c r="H151" s="25">
        <f t="shared" si="12"/>
        <v>7.8</v>
      </c>
      <c r="I151" s="25">
        <f t="shared" si="13"/>
        <v>0</v>
      </c>
      <c r="J151" s="25">
        <f t="shared" si="14"/>
        <v>0</v>
      </c>
    </row>
    <row r="152" spans="1:10" x14ac:dyDescent="0.25">
      <c r="A152" s="3">
        <v>42519</v>
      </c>
      <c r="B152" s="12" t="str">
        <f t="shared" si="10"/>
        <v>Sat</v>
      </c>
      <c r="C152" s="7">
        <f t="shared" si="11"/>
        <v>22</v>
      </c>
      <c r="H152" s="25">
        <f t="shared" si="12"/>
        <v>0</v>
      </c>
      <c r="I152" s="25">
        <f t="shared" si="13"/>
        <v>0</v>
      </c>
      <c r="J152" s="25">
        <f t="shared" si="14"/>
        <v>0</v>
      </c>
    </row>
    <row r="153" spans="1:10" x14ac:dyDescent="0.25">
      <c r="A153" s="3">
        <v>42520</v>
      </c>
      <c r="B153" s="12" t="str">
        <f t="shared" si="10"/>
        <v>Sun</v>
      </c>
      <c r="C153" s="7">
        <f t="shared" si="11"/>
        <v>22</v>
      </c>
      <c r="H153" s="25">
        <f t="shared" si="12"/>
        <v>0</v>
      </c>
      <c r="I153" s="25">
        <f t="shared" si="13"/>
        <v>0</v>
      </c>
      <c r="J153" s="25">
        <f t="shared" si="14"/>
        <v>0</v>
      </c>
    </row>
    <row r="154" spans="1:10" x14ac:dyDescent="0.25">
      <c r="A154" s="3">
        <v>42521</v>
      </c>
      <c r="B154" s="12" t="str">
        <f t="shared" si="10"/>
        <v>Mon</v>
      </c>
      <c r="C154" s="7">
        <f t="shared" si="11"/>
        <v>23</v>
      </c>
      <c r="H154" s="25">
        <f t="shared" si="12"/>
        <v>7.8</v>
      </c>
      <c r="I154" s="25">
        <f t="shared" si="13"/>
        <v>0</v>
      </c>
      <c r="J154" s="25">
        <f t="shared" si="14"/>
        <v>0</v>
      </c>
    </row>
    <row r="155" spans="1:10" x14ac:dyDescent="0.25">
      <c r="A155" s="3">
        <v>42522</v>
      </c>
      <c r="B155" s="12" t="str">
        <f t="shared" si="10"/>
        <v>Tue</v>
      </c>
      <c r="C155" s="7">
        <f t="shared" si="11"/>
        <v>23</v>
      </c>
      <c r="H155" s="25">
        <f t="shared" si="12"/>
        <v>7.8</v>
      </c>
      <c r="I155" s="25">
        <f t="shared" si="13"/>
        <v>0</v>
      </c>
      <c r="J155" s="25">
        <f t="shared" si="14"/>
        <v>0</v>
      </c>
    </row>
    <row r="156" spans="1:10" x14ac:dyDescent="0.25">
      <c r="A156" s="3">
        <v>42523</v>
      </c>
      <c r="B156" s="12" t="str">
        <f t="shared" si="10"/>
        <v>Wed</v>
      </c>
      <c r="C156" s="7">
        <f t="shared" si="11"/>
        <v>23</v>
      </c>
      <c r="H156" s="25">
        <f t="shared" si="12"/>
        <v>7.8</v>
      </c>
      <c r="I156" s="25">
        <f t="shared" si="13"/>
        <v>0</v>
      </c>
      <c r="J156" s="25">
        <f t="shared" si="14"/>
        <v>0</v>
      </c>
    </row>
    <row r="157" spans="1:10" x14ac:dyDescent="0.25">
      <c r="A157" s="3">
        <v>42524</v>
      </c>
      <c r="B157" s="12" t="str">
        <f t="shared" si="10"/>
        <v>Thu</v>
      </c>
      <c r="C157" s="7">
        <f t="shared" si="11"/>
        <v>23</v>
      </c>
      <c r="H157" s="25">
        <f t="shared" si="12"/>
        <v>7.8</v>
      </c>
      <c r="I157" s="25">
        <f t="shared" si="13"/>
        <v>0</v>
      </c>
      <c r="J157" s="25">
        <f t="shared" si="14"/>
        <v>0</v>
      </c>
    </row>
    <row r="158" spans="1:10" x14ac:dyDescent="0.25">
      <c r="A158" s="3">
        <v>42525</v>
      </c>
      <c r="B158" s="12" t="str">
        <f t="shared" si="10"/>
        <v>Fri</v>
      </c>
      <c r="C158" s="7">
        <f t="shared" si="11"/>
        <v>23</v>
      </c>
      <c r="H158" s="25">
        <f t="shared" si="12"/>
        <v>7.8</v>
      </c>
      <c r="I158" s="25">
        <f t="shared" si="13"/>
        <v>0</v>
      </c>
      <c r="J158" s="25">
        <f t="shared" si="14"/>
        <v>0</v>
      </c>
    </row>
    <row r="159" spans="1:10" x14ac:dyDescent="0.25">
      <c r="A159" s="3">
        <v>42526</v>
      </c>
      <c r="B159" s="12" t="str">
        <f t="shared" si="10"/>
        <v>Sat</v>
      </c>
      <c r="C159" s="7">
        <f t="shared" si="11"/>
        <v>23</v>
      </c>
      <c r="H159" s="25">
        <f t="shared" si="12"/>
        <v>0</v>
      </c>
      <c r="I159" s="25">
        <f t="shared" si="13"/>
        <v>0</v>
      </c>
      <c r="J159" s="25">
        <f t="shared" si="14"/>
        <v>0</v>
      </c>
    </row>
    <row r="160" spans="1:10" x14ac:dyDescent="0.25">
      <c r="A160" s="3">
        <v>42527</v>
      </c>
      <c r="B160" s="12" t="str">
        <f t="shared" si="10"/>
        <v>Sun</v>
      </c>
      <c r="C160" s="7">
        <f t="shared" si="11"/>
        <v>23</v>
      </c>
      <c r="H160" s="25">
        <f t="shared" si="12"/>
        <v>0</v>
      </c>
      <c r="I160" s="25">
        <f t="shared" si="13"/>
        <v>0</v>
      </c>
      <c r="J160" s="25">
        <f t="shared" si="14"/>
        <v>0</v>
      </c>
    </row>
    <row r="161" spans="1:10" x14ac:dyDescent="0.25">
      <c r="A161" s="3">
        <v>42528</v>
      </c>
      <c r="B161" s="12" t="str">
        <f t="shared" si="10"/>
        <v>Mon</v>
      </c>
      <c r="C161" s="7">
        <f t="shared" si="11"/>
        <v>24</v>
      </c>
      <c r="H161" s="25">
        <f t="shared" si="12"/>
        <v>7.8</v>
      </c>
      <c r="I161" s="25">
        <f t="shared" si="13"/>
        <v>0</v>
      </c>
      <c r="J161" s="25">
        <f t="shared" si="14"/>
        <v>0</v>
      </c>
    </row>
    <row r="162" spans="1:10" x14ac:dyDescent="0.25">
      <c r="A162" s="3">
        <v>42529</v>
      </c>
      <c r="B162" s="12" t="str">
        <f t="shared" si="10"/>
        <v>Tue</v>
      </c>
      <c r="C162" s="7">
        <f t="shared" si="11"/>
        <v>24</v>
      </c>
      <c r="H162" s="25">
        <f t="shared" si="12"/>
        <v>7.8</v>
      </c>
      <c r="I162" s="25">
        <f t="shared" si="13"/>
        <v>0</v>
      </c>
      <c r="J162" s="25">
        <f t="shared" si="14"/>
        <v>0</v>
      </c>
    </row>
    <row r="163" spans="1:10" x14ac:dyDescent="0.25">
      <c r="A163" s="3">
        <v>42530</v>
      </c>
      <c r="B163" s="12" t="str">
        <f t="shared" si="10"/>
        <v>Wed</v>
      </c>
      <c r="C163" s="7">
        <f t="shared" si="11"/>
        <v>24</v>
      </c>
      <c r="H163" s="25">
        <f t="shared" si="12"/>
        <v>7.8</v>
      </c>
      <c r="I163" s="25">
        <f t="shared" si="13"/>
        <v>0</v>
      </c>
      <c r="J163" s="25">
        <f t="shared" si="14"/>
        <v>0</v>
      </c>
    </row>
    <row r="164" spans="1:10" x14ac:dyDescent="0.25">
      <c r="A164" s="3">
        <v>42531</v>
      </c>
      <c r="B164" s="12" t="str">
        <f t="shared" si="10"/>
        <v>Thu</v>
      </c>
      <c r="C164" s="7">
        <f t="shared" si="11"/>
        <v>24</v>
      </c>
      <c r="H164" s="25">
        <f t="shared" si="12"/>
        <v>7.8</v>
      </c>
      <c r="I164" s="25">
        <f t="shared" si="13"/>
        <v>0</v>
      </c>
      <c r="J164" s="25">
        <f t="shared" si="14"/>
        <v>0</v>
      </c>
    </row>
    <row r="165" spans="1:10" x14ac:dyDescent="0.25">
      <c r="A165" s="3">
        <v>42532</v>
      </c>
      <c r="B165" s="12" t="str">
        <f t="shared" si="10"/>
        <v>Fri</v>
      </c>
      <c r="C165" s="7">
        <f t="shared" si="11"/>
        <v>24</v>
      </c>
      <c r="H165" s="25">
        <f t="shared" si="12"/>
        <v>7.8</v>
      </c>
      <c r="I165" s="25">
        <f t="shared" si="13"/>
        <v>0</v>
      </c>
      <c r="J165" s="25">
        <f t="shared" si="14"/>
        <v>0</v>
      </c>
    </row>
    <row r="166" spans="1:10" x14ac:dyDescent="0.25">
      <c r="A166" s="3">
        <v>42533</v>
      </c>
      <c r="B166" s="12" t="str">
        <f t="shared" si="10"/>
        <v>Sat</v>
      </c>
      <c r="C166" s="7">
        <f t="shared" si="11"/>
        <v>24</v>
      </c>
      <c r="H166" s="25">
        <f t="shared" si="12"/>
        <v>0</v>
      </c>
      <c r="I166" s="25">
        <f t="shared" si="13"/>
        <v>0</v>
      </c>
      <c r="J166" s="25">
        <f t="shared" si="14"/>
        <v>0</v>
      </c>
    </row>
    <row r="167" spans="1:10" x14ac:dyDescent="0.25">
      <c r="A167" s="3">
        <v>42534</v>
      </c>
      <c r="B167" s="12" t="str">
        <f t="shared" si="10"/>
        <v>Sun</v>
      </c>
      <c r="C167" s="7">
        <f t="shared" si="11"/>
        <v>24</v>
      </c>
      <c r="H167" s="25">
        <f t="shared" si="12"/>
        <v>0</v>
      </c>
      <c r="I167" s="25">
        <f t="shared" si="13"/>
        <v>0</v>
      </c>
      <c r="J167" s="25">
        <f t="shared" si="14"/>
        <v>0</v>
      </c>
    </row>
    <row r="168" spans="1:10" x14ac:dyDescent="0.25">
      <c r="A168" s="3">
        <v>42535</v>
      </c>
      <c r="B168" s="12" t="str">
        <f t="shared" si="10"/>
        <v>Mon</v>
      </c>
      <c r="C168" s="7">
        <f t="shared" si="11"/>
        <v>25</v>
      </c>
      <c r="H168" s="25">
        <f t="shared" si="12"/>
        <v>7.8</v>
      </c>
      <c r="I168" s="25">
        <f t="shared" si="13"/>
        <v>0</v>
      </c>
      <c r="J168" s="25">
        <f t="shared" si="14"/>
        <v>0</v>
      </c>
    </row>
    <row r="169" spans="1:10" x14ac:dyDescent="0.25">
      <c r="A169" s="3">
        <v>42536</v>
      </c>
      <c r="B169" s="12" t="str">
        <f t="shared" si="10"/>
        <v>Tue</v>
      </c>
      <c r="C169" s="7">
        <f t="shared" si="11"/>
        <v>25</v>
      </c>
      <c r="H169" s="25">
        <f t="shared" si="12"/>
        <v>7.8</v>
      </c>
      <c r="I169" s="25">
        <f t="shared" si="13"/>
        <v>0</v>
      </c>
      <c r="J169" s="25">
        <f t="shared" si="14"/>
        <v>0</v>
      </c>
    </row>
    <row r="170" spans="1:10" x14ac:dyDescent="0.25">
      <c r="A170" s="3">
        <v>42537</v>
      </c>
      <c r="B170" s="12" t="str">
        <f t="shared" si="10"/>
        <v>Wed</v>
      </c>
      <c r="C170" s="7">
        <f t="shared" si="11"/>
        <v>25</v>
      </c>
      <c r="H170" s="25">
        <f t="shared" si="12"/>
        <v>7.8</v>
      </c>
      <c r="I170" s="25">
        <f t="shared" si="13"/>
        <v>0</v>
      </c>
      <c r="J170" s="25">
        <f t="shared" si="14"/>
        <v>0</v>
      </c>
    </row>
    <row r="171" spans="1:10" x14ac:dyDescent="0.25">
      <c r="A171" s="3">
        <v>42538</v>
      </c>
      <c r="B171" s="12" t="str">
        <f t="shared" si="10"/>
        <v>Thu</v>
      </c>
      <c r="C171" s="7">
        <f t="shared" si="11"/>
        <v>25</v>
      </c>
      <c r="H171" s="25">
        <f t="shared" si="12"/>
        <v>7.8</v>
      </c>
      <c r="I171" s="25">
        <f t="shared" si="13"/>
        <v>0</v>
      </c>
      <c r="J171" s="25">
        <f t="shared" si="14"/>
        <v>0</v>
      </c>
    </row>
    <row r="172" spans="1:10" x14ac:dyDescent="0.25">
      <c r="A172" s="3">
        <v>42539</v>
      </c>
      <c r="B172" s="12" t="str">
        <f t="shared" si="10"/>
        <v>Fri</v>
      </c>
      <c r="C172" s="7">
        <f t="shared" si="11"/>
        <v>25</v>
      </c>
      <c r="H172" s="25">
        <f t="shared" si="12"/>
        <v>7.8</v>
      </c>
      <c r="I172" s="25">
        <f t="shared" si="13"/>
        <v>0</v>
      </c>
      <c r="J172" s="25">
        <f t="shared" si="14"/>
        <v>0</v>
      </c>
    </row>
    <row r="173" spans="1:10" x14ac:dyDescent="0.25">
      <c r="A173" s="3">
        <v>42540</v>
      </c>
      <c r="B173" s="12" t="str">
        <f t="shared" si="10"/>
        <v>Sat</v>
      </c>
      <c r="C173" s="7">
        <f t="shared" si="11"/>
        <v>25</v>
      </c>
      <c r="H173" s="25">
        <f t="shared" si="12"/>
        <v>0</v>
      </c>
      <c r="I173" s="25">
        <f t="shared" si="13"/>
        <v>0</v>
      </c>
      <c r="J173" s="25">
        <f t="shared" si="14"/>
        <v>0</v>
      </c>
    </row>
    <row r="174" spans="1:10" x14ac:dyDescent="0.25">
      <c r="A174" s="3">
        <v>42541</v>
      </c>
      <c r="B174" s="12" t="str">
        <f t="shared" si="10"/>
        <v>Sun</v>
      </c>
      <c r="C174" s="7">
        <f t="shared" si="11"/>
        <v>25</v>
      </c>
      <c r="H174" s="25">
        <f t="shared" si="12"/>
        <v>0</v>
      </c>
      <c r="I174" s="25">
        <f t="shared" si="13"/>
        <v>0</v>
      </c>
      <c r="J174" s="25">
        <f t="shared" si="14"/>
        <v>0</v>
      </c>
    </row>
    <row r="175" spans="1:10" x14ac:dyDescent="0.25">
      <c r="A175" s="3">
        <v>42542</v>
      </c>
      <c r="B175" s="12" t="str">
        <f t="shared" si="10"/>
        <v>Mon</v>
      </c>
      <c r="C175" s="7">
        <f t="shared" si="11"/>
        <v>26</v>
      </c>
      <c r="H175" s="25">
        <f t="shared" si="12"/>
        <v>7.8</v>
      </c>
      <c r="I175" s="25">
        <f t="shared" si="13"/>
        <v>0</v>
      </c>
      <c r="J175" s="25">
        <f t="shared" si="14"/>
        <v>0</v>
      </c>
    </row>
    <row r="176" spans="1:10" x14ac:dyDescent="0.25">
      <c r="A176" s="3">
        <v>42543</v>
      </c>
      <c r="B176" s="12" t="str">
        <f t="shared" si="10"/>
        <v>Tue</v>
      </c>
      <c r="C176" s="7">
        <f t="shared" si="11"/>
        <v>26</v>
      </c>
      <c r="H176" s="25">
        <f t="shared" si="12"/>
        <v>7.8</v>
      </c>
      <c r="I176" s="25">
        <f t="shared" si="13"/>
        <v>0</v>
      </c>
      <c r="J176" s="25">
        <f t="shared" si="14"/>
        <v>0</v>
      </c>
    </row>
    <row r="177" spans="1:10" x14ac:dyDescent="0.25">
      <c r="A177" s="3">
        <v>42544</v>
      </c>
      <c r="B177" s="12" t="str">
        <f t="shared" si="10"/>
        <v>Wed</v>
      </c>
      <c r="C177" s="7">
        <f t="shared" si="11"/>
        <v>26</v>
      </c>
      <c r="H177" s="25">
        <f t="shared" si="12"/>
        <v>7.8</v>
      </c>
      <c r="I177" s="25">
        <f t="shared" si="13"/>
        <v>0</v>
      </c>
      <c r="J177" s="25">
        <f t="shared" si="14"/>
        <v>0</v>
      </c>
    </row>
    <row r="178" spans="1:10" x14ac:dyDescent="0.25">
      <c r="A178" s="3">
        <v>42545</v>
      </c>
      <c r="B178" s="12" t="str">
        <f t="shared" si="10"/>
        <v>Thu</v>
      </c>
      <c r="C178" s="7">
        <f t="shared" si="11"/>
        <v>26</v>
      </c>
      <c r="H178" s="25">
        <f t="shared" si="12"/>
        <v>7.8</v>
      </c>
      <c r="I178" s="25">
        <f t="shared" si="13"/>
        <v>0</v>
      </c>
      <c r="J178" s="25">
        <f t="shared" si="14"/>
        <v>0</v>
      </c>
    </row>
    <row r="179" spans="1:10" x14ac:dyDescent="0.25">
      <c r="A179" s="3">
        <v>42546</v>
      </c>
      <c r="B179" s="12" t="str">
        <f t="shared" si="10"/>
        <v>Fri</v>
      </c>
      <c r="C179" s="7">
        <f t="shared" si="11"/>
        <v>26</v>
      </c>
      <c r="H179" s="25">
        <f t="shared" si="12"/>
        <v>7.8</v>
      </c>
      <c r="I179" s="25">
        <f t="shared" si="13"/>
        <v>0</v>
      </c>
      <c r="J179" s="25">
        <f t="shared" si="14"/>
        <v>0</v>
      </c>
    </row>
    <row r="180" spans="1:10" x14ac:dyDescent="0.25">
      <c r="A180" s="3">
        <v>42547</v>
      </c>
      <c r="B180" s="12" t="str">
        <f t="shared" si="10"/>
        <v>Sat</v>
      </c>
      <c r="C180" s="7">
        <f t="shared" si="11"/>
        <v>26</v>
      </c>
      <c r="H180" s="25">
        <f t="shared" si="12"/>
        <v>0</v>
      </c>
      <c r="I180" s="25">
        <f t="shared" si="13"/>
        <v>0</v>
      </c>
      <c r="J180" s="25">
        <f t="shared" si="14"/>
        <v>0</v>
      </c>
    </row>
    <row r="181" spans="1:10" x14ac:dyDescent="0.25">
      <c r="A181" s="3">
        <v>42548</v>
      </c>
      <c r="B181" s="12" t="str">
        <f t="shared" si="10"/>
        <v>Sun</v>
      </c>
      <c r="C181" s="7">
        <f t="shared" si="11"/>
        <v>26</v>
      </c>
      <c r="H181" s="25">
        <f t="shared" si="12"/>
        <v>0</v>
      </c>
      <c r="I181" s="25">
        <f t="shared" si="13"/>
        <v>0</v>
      </c>
      <c r="J181" s="25">
        <f t="shared" si="14"/>
        <v>0</v>
      </c>
    </row>
    <row r="182" spans="1:10" x14ac:dyDescent="0.25">
      <c r="A182" s="3">
        <v>42549</v>
      </c>
      <c r="B182" s="12" t="str">
        <f t="shared" si="10"/>
        <v>Mon</v>
      </c>
      <c r="C182" s="7">
        <f t="shared" si="11"/>
        <v>27</v>
      </c>
      <c r="H182" s="25">
        <f t="shared" si="12"/>
        <v>7.8</v>
      </c>
      <c r="I182" s="25">
        <f t="shared" si="13"/>
        <v>0</v>
      </c>
      <c r="J182" s="25">
        <f t="shared" si="14"/>
        <v>0</v>
      </c>
    </row>
    <row r="183" spans="1:10" x14ac:dyDescent="0.25">
      <c r="A183" s="3">
        <v>42550</v>
      </c>
      <c r="B183" s="12" t="str">
        <f t="shared" si="10"/>
        <v>Tue</v>
      </c>
      <c r="C183" s="7">
        <f t="shared" si="11"/>
        <v>27</v>
      </c>
      <c r="H183" s="25">
        <f t="shared" si="12"/>
        <v>7.8</v>
      </c>
      <c r="I183" s="25">
        <f t="shared" si="13"/>
        <v>0</v>
      </c>
      <c r="J183" s="25">
        <f t="shared" si="14"/>
        <v>0</v>
      </c>
    </row>
    <row r="184" spans="1:10" x14ac:dyDescent="0.25">
      <c r="A184" s="3">
        <v>42551</v>
      </c>
      <c r="B184" s="12" t="str">
        <f t="shared" si="10"/>
        <v>Wed</v>
      </c>
      <c r="C184" s="7">
        <f t="shared" si="11"/>
        <v>27</v>
      </c>
      <c r="H184" s="25">
        <f t="shared" si="12"/>
        <v>7.8</v>
      </c>
      <c r="I184" s="25">
        <f t="shared" si="13"/>
        <v>0</v>
      </c>
      <c r="J184" s="25">
        <f t="shared" si="14"/>
        <v>0</v>
      </c>
    </row>
    <row r="185" spans="1:10" x14ac:dyDescent="0.25">
      <c r="A185" s="3">
        <v>42552</v>
      </c>
      <c r="B185" s="12" t="str">
        <f t="shared" si="10"/>
        <v>Thu</v>
      </c>
      <c r="C185" s="7">
        <f t="shared" si="11"/>
        <v>27</v>
      </c>
      <c r="H185" s="25">
        <f t="shared" si="12"/>
        <v>7.8</v>
      </c>
      <c r="I185" s="25">
        <f t="shared" si="13"/>
        <v>0</v>
      </c>
      <c r="J185" s="25">
        <f t="shared" si="14"/>
        <v>0</v>
      </c>
    </row>
    <row r="186" spans="1:10" x14ac:dyDescent="0.25">
      <c r="A186" s="3">
        <v>42553</v>
      </c>
      <c r="B186" s="12" t="str">
        <f t="shared" si="10"/>
        <v>Fri</v>
      </c>
      <c r="C186" s="7">
        <f t="shared" si="11"/>
        <v>27</v>
      </c>
      <c r="H186" s="25">
        <f t="shared" si="12"/>
        <v>7.8</v>
      </c>
      <c r="I186" s="25">
        <f t="shared" si="13"/>
        <v>0</v>
      </c>
      <c r="J186" s="25">
        <f t="shared" si="14"/>
        <v>0</v>
      </c>
    </row>
    <row r="187" spans="1:10" x14ac:dyDescent="0.25">
      <c r="A187" s="3">
        <v>42554</v>
      </c>
      <c r="B187" s="12" t="str">
        <f t="shared" si="10"/>
        <v>Sat</v>
      </c>
      <c r="C187" s="7">
        <f t="shared" si="11"/>
        <v>27</v>
      </c>
      <c r="H187" s="25">
        <f t="shared" si="12"/>
        <v>0</v>
      </c>
      <c r="I187" s="25">
        <f t="shared" si="13"/>
        <v>0</v>
      </c>
      <c r="J187" s="25">
        <f t="shared" si="14"/>
        <v>0</v>
      </c>
    </row>
    <row r="188" spans="1:10" x14ac:dyDescent="0.25">
      <c r="A188" s="3">
        <v>42555</v>
      </c>
      <c r="B188" s="12" t="str">
        <f t="shared" si="10"/>
        <v>Sun</v>
      </c>
      <c r="C188" s="7">
        <f t="shared" si="11"/>
        <v>27</v>
      </c>
      <c r="H188" s="25">
        <f t="shared" si="12"/>
        <v>0</v>
      </c>
      <c r="I188" s="25">
        <f t="shared" si="13"/>
        <v>0</v>
      </c>
      <c r="J188" s="25">
        <f t="shared" si="14"/>
        <v>0</v>
      </c>
    </row>
    <row r="189" spans="1:10" x14ac:dyDescent="0.25">
      <c r="A189" s="3">
        <v>42556</v>
      </c>
      <c r="B189" s="12" t="str">
        <f t="shared" si="10"/>
        <v>Mon</v>
      </c>
      <c r="C189" s="7">
        <f t="shared" si="11"/>
        <v>28</v>
      </c>
      <c r="H189" s="25">
        <f t="shared" si="12"/>
        <v>7.8</v>
      </c>
      <c r="I189" s="25">
        <f t="shared" si="13"/>
        <v>0</v>
      </c>
      <c r="J189" s="25">
        <f t="shared" si="14"/>
        <v>0</v>
      </c>
    </row>
    <row r="190" spans="1:10" x14ac:dyDescent="0.25">
      <c r="A190" s="3">
        <v>42557</v>
      </c>
      <c r="B190" s="12" t="str">
        <f t="shared" si="10"/>
        <v>Tue</v>
      </c>
      <c r="C190" s="7">
        <f t="shared" si="11"/>
        <v>28</v>
      </c>
      <c r="H190" s="25">
        <f t="shared" si="12"/>
        <v>7.8</v>
      </c>
      <c r="I190" s="25">
        <f t="shared" si="13"/>
        <v>0</v>
      </c>
      <c r="J190" s="25">
        <f t="shared" si="14"/>
        <v>0</v>
      </c>
    </row>
    <row r="191" spans="1:10" x14ac:dyDescent="0.25">
      <c r="A191" s="3">
        <v>42558</v>
      </c>
      <c r="B191" s="12" t="str">
        <f t="shared" si="10"/>
        <v>Wed</v>
      </c>
      <c r="C191" s="7">
        <f t="shared" si="11"/>
        <v>28</v>
      </c>
      <c r="H191" s="25">
        <f t="shared" si="12"/>
        <v>7.8</v>
      </c>
      <c r="I191" s="25">
        <f t="shared" si="13"/>
        <v>0</v>
      </c>
      <c r="J191" s="25">
        <f t="shared" si="14"/>
        <v>0</v>
      </c>
    </row>
    <row r="192" spans="1:10" x14ac:dyDescent="0.25">
      <c r="A192" s="3">
        <v>42559</v>
      </c>
      <c r="B192" s="12" t="str">
        <f t="shared" si="10"/>
        <v>Thu</v>
      </c>
      <c r="C192" s="7">
        <f t="shared" si="11"/>
        <v>28</v>
      </c>
      <c r="H192" s="25">
        <f t="shared" si="12"/>
        <v>7.8</v>
      </c>
      <c r="I192" s="25">
        <f t="shared" si="13"/>
        <v>0</v>
      </c>
      <c r="J192" s="25">
        <f t="shared" si="14"/>
        <v>0</v>
      </c>
    </row>
    <row r="193" spans="1:10" x14ac:dyDescent="0.25">
      <c r="A193" s="3">
        <v>42560</v>
      </c>
      <c r="B193" s="12" t="str">
        <f t="shared" si="10"/>
        <v>Fri</v>
      </c>
      <c r="C193" s="7">
        <f t="shared" si="11"/>
        <v>28</v>
      </c>
      <c r="H193" s="25">
        <f t="shared" si="12"/>
        <v>7.8</v>
      </c>
      <c r="I193" s="25">
        <f t="shared" si="13"/>
        <v>0</v>
      </c>
      <c r="J193" s="25">
        <f t="shared" si="14"/>
        <v>0</v>
      </c>
    </row>
    <row r="194" spans="1:10" x14ac:dyDescent="0.25">
      <c r="A194" s="3">
        <v>42561</v>
      </c>
      <c r="B194" s="12" t="str">
        <f t="shared" ref="B194:B257" si="15">CHOOSE(WEEKDAY($A194,2),"Mon","Tue","Wed","Thu","Fri","Sat","Sun")</f>
        <v>Sat</v>
      </c>
      <c r="C194" s="7">
        <f t="shared" ref="C194:C257" si="16">_xlfn.ISOWEEKNUM($A194)</f>
        <v>28</v>
      </c>
      <c r="H194" s="25">
        <f t="shared" ref="H194:H257" si="17">IF(AND(WEEKDAY($A194,2)&lt;=5,COUNTIF(timeaway_types, $D194)=0),7.8,0)</f>
        <v>0</v>
      </c>
      <c r="I194" s="25">
        <f t="shared" ref="I194:I257" si="18">IF(COUNTIF(nonprod_types, $D194)&gt;0,0, (($F194-$E194)-$G194)*24)</f>
        <v>0</v>
      </c>
      <c r="J194" s="25">
        <f t="shared" si="14"/>
        <v>0</v>
      </c>
    </row>
    <row r="195" spans="1:10" x14ac:dyDescent="0.25">
      <c r="A195" s="3">
        <v>42562</v>
      </c>
      <c r="B195" s="12" t="str">
        <f t="shared" si="15"/>
        <v>Sun</v>
      </c>
      <c r="C195" s="7">
        <f t="shared" si="16"/>
        <v>28</v>
      </c>
      <c r="H195" s="25">
        <f t="shared" si="17"/>
        <v>0</v>
      </c>
      <c r="I195" s="25">
        <f t="shared" si="18"/>
        <v>0</v>
      </c>
      <c r="J195" s="25">
        <f t="shared" ref="J195:J258" si="19">IF(D195="",0,$I195-$H195)</f>
        <v>0</v>
      </c>
    </row>
    <row r="196" spans="1:10" x14ac:dyDescent="0.25">
      <c r="A196" s="3">
        <v>42563</v>
      </c>
      <c r="B196" s="12" t="str">
        <f t="shared" si="15"/>
        <v>Mon</v>
      </c>
      <c r="C196" s="7">
        <f t="shared" si="16"/>
        <v>29</v>
      </c>
      <c r="H196" s="25">
        <f t="shared" si="17"/>
        <v>7.8</v>
      </c>
      <c r="I196" s="25">
        <f t="shared" si="18"/>
        <v>0</v>
      </c>
      <c r="J196" s="25">
        <f t="shared" si="19"/>
        <v>0</v>
      </c>
    </row>
    <row r="197" spans="1:10" x14ac:dyDescent="0.25">
      <c r="A197" s="3">
        <v>42564</v>
      </c>
      <c r="B197" s="12" t="str">
        <f t="shared" si="15"/>
        <v>Tue</v>
      </c>
      <c r="C197" s="7">
        <f t="shared" si="16"/>
        <v>29</v>
      </c>
      <c r="H197" s="25">
        <f t="shared" si="17"/>
        <v>7.8</v>
      </c>
      <c r="I197" s="25">
        <f t="shared" si="18"/>
        <v>0</v>
      </c>
      <c r="J197" s="25">
        <f t="shared" si="19"/>
        <v>0</v>
      </c>
    </row>
    <row r="198" spans="1:10" x14ac:dyDescent="0.25">
      <c r="A198" s="3">
        <v>42565</v>
      </c>
      <c r="B198" s="12" t="str">
        <f t="shared" si="15"/>
        <v>Wed</v>
      </c>
      <c r="C198" s="7">
        <f t="shared" si="16"/>
        <v>29</v>
      </c>
      <c r="H198" s="25">
        <f t="shared" si="17"/>
        <v>7.8</v>
      </c>
      <c r="I198" s="25">
        <f t="shared" si="18"/>
        <v>0</v>
      </c>
      <c r="J198" s="25">
        <f t="shared" si="19"/>
        <v>0</v>
      </c>
    </row>
    <row r="199" spans="1:10" x14ac:dyDescent="0.25">
      <c r="A199" s="3">
        <v>42566</v>
      </c>
      <c r="B199" s="12" t="str">
        <f t="shared" si="15"/>
        <v>Thu</v>
      </c>
      <c r="C199" s="7">
        <f t="shared" si="16"/>
        <v>29</v>
      </c>
      <c r="H199" s="25">
        <f t="shared" si="17"/>
        <v>7.8</v>
      </c>
      <c r="I199" s="25">
        <f t="shared" si="18"/>
        <v>0</v>
      </c>
      <c r="J199" s="25">
        <f t="shared" si="19"/>
        <v>0</v>
      </c>
    </row>
    <row r="200" spans="1:10" x14ac:dyDescent="0.25">
      <c r="A200" s="3">
        <v>42567</v>
      </c>
      <c r="B200" s="12" t="str">
        <f t="shared" si="15"/>
        <v>Fri</v>
      </c>
      <c r="C200" s="7">
        <f t="shared" si="16"/>
        <v>29</v>
      </c>
      <c r="H200" s="25">
        <f t="shared" si="17"/>
        <v>7.8</v>
      </c>
      <c r="I200" s="25">
        <f t="shared" si="18"/>
        <v>0</v>
      </c>
      <c r="J200" s="25">
        <f t="shared" si="19"/>
        <v>0</v>
      </c>
    </row>
    <row r="201" spans="1:10" x14ac:dyDescent="0.25">
      <c r="A201" s="3">
        <v>42568</v>
      </c>
      <c r="B201" s="12" t="str">
        <f t="shared" si="15"/>
        <v>Sat</v>
      </c>
      <c r="C201" s="7">
        <f t="shared" si="16"/>
        <v>29</v>
      </c>
      <c r="H201" s="25">
        <f t="shared" si="17"/>
        <v>0</v>
      </c>
      <c r="I201" s="25">
        <f t="shared" si="18"/>
        <v>0</v>
      </c>
      <c r="J201" s="25">
        <f t="shared" si="19"/>
        <v>0</v>
      </c>
    </row>
    <row r="202" spans="1:10" x14ac:dyDescent="0.25">
      <c r="A202" s="3">
        <v>42569</v>
      </c>
      <c r="B202" s="12" t="str">
        <f t="shared" si="15"/>
        <v>Sun</v>
      </c>
      <c r="C202" s="7">
        <f t="shared" si="16"/>
        <v>29</v>
      </c>
      <c r="H202" s="25">
        <f t="shared" si="17"/>
        <v>0</v>
      </c>
      <c r="I202" s="25">
        <f t="shared" si="18"/>
        <v>0</v>
      </c>
      <c r="J202" s="25">
        <f t="shared" si="19"/>
        <v>0</v>
      </c>
    </row>
    <row r="203" spans="1:10" x14ac:dyDescent="0.25">
      <c r="A203" s="3">
        <v>42570</v>
      </c>
      <c r="B203" s="12" t="str">
        <f t="shared" si="15"/>
        <v>Mon</v>
      </c>
      <c r="C203" s="7">
        <f t="shared" si="16"/>
        <v>30</v>
      </c>
      <c r="H203" s="25">
        <f t="shared" si="17"/>
        <v>7.8</v>
      </c>
      <c r="I203" s="25">
        <f t="shared" si="18"/>
        <v>0</v>
      </c>
      <c r="J203" s="25">
        <f t="shared" si="19"/>
        <v>0</v>
      </c>
    </row>
    <row r="204" spans="1:10" x14ac:dyDescent="0.25">
      <c r="A204" s="3">
        <v>42571</v>
      </c>
      <c r="B204" s="12" t="str">
        <f t="shared" si="15"/>
        <v>Tue</v>
      </c>
      <c r="C204" s="7">
        <f t="shared" si="16"/>
        <v>30</v>
      </c>
      <c r="H204" s="25">
        <f t="shared" si="17"/>
        <v>7.8</v>
      </c>
      <c r="I204" s="25">
        <f t="shared" si="18"/>
        <v>0</v>
      </c>
      <c r="J204" s="25">
        <f t="shared" si="19"/>
        <v>0</v>
      </c>
    </row>
    <row r="205" spans="1:10" x14ac:dyDescent="0.25">
      <c r="A205" s="3">
        <v>42572</v>
      </c>
      <c r="B205" s="12" t="str">
        <f t="shared" si="15"/>
        <v>Wed</v>
      </c>
      <c r="C205" s="7">
        <f t="shared" si="16"/>
        <v>30</v>
      </c>
      <c r="H205" s="25">
        <f t="shared" si="17"/>
        <v>7.8</v>
      </c>
      <c r="I205" s="25">
        <f t="shared" si="18"/>
        <v>0</v>
      </c>
      <c r="J205" s="25">
        <f t="shared" si="19"/>
        <v>0</v>
      </c>
    </row>
    <row r="206" spans="1:10" x14ac:dyDescent="0.25">
      <c r="A206" s="3">
        <v>42573</v>
      </c>
      <c r="B206" s="12" t="str">
        <f t="shared" si="15"/>
        <v>Thu</v>
      </c>
      <c r="C206" s="7">
        <f t="shared" si="16"/>
        <v>30</v>
      </c>
      <c r="H206" s="25">
        <f t="shared" si="17"/>
        <v>7.8</v>
      </c>
      <c r="I206" s="25">
        <f t="shared" si="18"/>
        <v>0</v>
      </c>
      <c r="J206" s="25">
        <f t="shared" si="19"/>
        <v>0</v>
      </c>
    </row>
    <row r="207" spans="1:10" x14ac:dyDescent="0.25">
      <c r="A207" s="3">
        <v>42574</v>
      </c>
      <c r="B207" s="12" t="str">
        <f t="shared" si="15"/>
        <v>Fri</v>
      </c>
      <c r="C207" s="7">
        <f t="shared" si="16"/>
        <v>30</v>
      </c>
      <c r="H207" s="25">
        <f t="shared" si="17"/>
        <v>7.8</v>
      </c>
      <c r="I207" s="25">
        <f t="shared" si="18"/>
        <v>0</v>
      </c>
      <c r="J207" s="25">
        <f t="shared" si="19"/>
        <v>0</v>
      </c>
    </row>
    <row r="208" spans="1:10" x14ac:dyDescent="0.25">
      <c r="A208" s="3">
        <v>42575</v>
      </c>
      <c r="B208" s="12" t="str">
        <f t="shared" si="15"/>
        <v>Sat</v>
      </c>
      <c r="C208" s="7">
        <f t="shared" si="16"/>
        <v>30</v>
      </c>
      <c r="H208" s="25">
        <f t="shared" si="17"/>
        <v>0</v>
      </c>
      <c r="I208" s="25">
        <f t="shared" si="18"/>
        <v>0</v>
      </c>
      <c r="J208" s="25">
        <f t="shared" si="19"/>
        <v>0</v>
      </c>
    </row>
    <row r="209" spans="1:10" x14ac:dyDescent="0.25">
      <c r="A209" s="3">
        <v>42576</v>
      </c>
      <c r="B209" s="12" t="str">
        <f t="shared" si="15"/>
        <v>Sun</v>
      </c>
      <c r="C209" s="7">
        <f t="shared" si="16"/>
        <v>30</v>
      </c>
      <c r="H209" s="25">
        <f t="shared" si="17"/>
        <v>0</v>
      </c>
      <c r="I209" s="25">
        <f t="shared" si="18"/>
        <v>0</v>
      </c>
      <c r="J209" s="25">
        <f t="shared" si="19"/>
        <v>0</v>
      </c>
    </row>
    <row r="210" spans="1:10" x14ac:dyDescent="0.25">
      <c r="A210" s="3">
        <v>42577</v>
      </c>
      <c r="B210" s="12" t="str">
        <f t="shared" si="15"/>
        <v>Mon</v>
      </c>
      <c r="C210" s="7">
        <f t="shared" si="16"/>
        <v>31</v>
      </c>
      <c r="H210" s="25">
        <f t="shared" si="17"/>
        <v>7.8</v>
      </c>
      <c r="I210" s="25">
        <f t="shared" si="18"/>
        <v>0</v>
      </c>
      <c r="J210" s="25">
        <f t="shared" si="19"/>
        <v>0</v>
      </c>
    </row>
    <row r="211" spans="1:10" x14ac:dyDescent="0.25">
      <c r="A211" s="3">
        <v>42578</v>
      </c>
      <c r="B211" s="12" t="str">
        <f t="shared" si="15"/>
        <v>Tue</v>
      </c>
      <c r="C211" s="7">
        <f t="shared" si="16"/>
        <v>31</v>
      </c>
      <c r="H211" s="25">
        <f t="shared" si="17"/>
        <v>7.8</v>
      </c>
      <c r="I211" s="25">
        <f t="shared" si="18"/>
        <v>0</v>
      </c>
      <c r="J211" s="25">
        <f t="shared" si="19"/>
        <v>0</v>
      </c>
    </row>
    <row r="212" spans="1:10" x14ac:dyDescent="0.25">
      <c r="A212" s="3">
        <v>42579</v>
      </c>
      <c r="B212" s="12" t="str">
        <f t="shared" si="15"/>
        <v>Wed</v>
      </c>
      <c r="C212" s="7">
        <f t="shared" si="16"/>
        <v>31</v>
      </c>
      <c r="H212" s="25">
        <f t="shared" si="17"/>
        <v>7.8</v>
      </c>
      <c r="I212" s="25">
        <f t="shared" si="18"/>
        <v>0</v>
      </c>
      <c r="J212" s="25">
        <f t="shared" si="19"/>
        <v>0</v>
      </c>
    </row>
    <row r="213" spans="1:10" x14ac:dyDescent="0.25">
      <c r="A213" s="3">
        <v>42580</v>
      </c>
      <c r="B213" s="12" t="str">
        <f t="shared" si="15"/>
        <v>Thu</v>
      </c>
      <c r="C213" s="7">
        <f t="shared" si="16"/>
        <v>31</v>
      </c>
      <c r="H213" s="25">
        <f t="shared" si="17"/>
        <v>7.8</v>
      </c>
      <c r="I213" s="25">
        <f t="shared" si="18"/>
        <v>0</v>
      </c>
      <c r="J213" s="25">
        <f t="shared" si="19"/>
        <v>0</v>
      </c>
    </row>
    <row r="214" spans="1:10" x14ac:dyDescent="0.25">
      <c r="A214" s="3">
        <v>42581</v>
      </c>
      <c r="B214" s="12" t="str">
        <f t="shared" si="15"/>
        <v>Fri</v>
      </c>
      <c r="C214" s="7">
        <f t="shared" si="16"/>
        <v>31</v>
      </c>
      <c r="H214" s="25">
        <f t="shared" si="17"/>
        <v>7.8</v>
      </c>
      <c r="I214" s="25">
        <f t="shared" si="18"/>
        <v>0</v>
      </c>
      <c r="J214" s="25">
        <f t="shared" si="19"/>
        <v>0</v>
      </c>
    </row>
    <row r="215" spans="1:10" x14ac:dyDescent="0.25">
      <c r="A215" s="3">
        <v>42582</v>
      </c>
      <c r="B215" s="12" t="str">
        <f t="shared" si="15"/>
        <v>Sat</v>
      </c>
      <c r="C215" s="7">
        <f t="shared" si="16"/>
        <v>31</v>
      </c>
      <c r="H215" s="25">
        <f t="shared" si="17"/>
        <v>0</v>
      </c>
      <c r="I215" s="25">
        <f t="shared" si="18"/>
        <v>0</v>
      </c>
      <c r="J215" s="25">
        <f t="shared" si="19"/>
        <v>0</v>
      </c>
    </row>
    <row r="216" spans="1:10" x14ac:dyDescent="0.25">
      <c r="A216" s="3">
        <v>42583</v>
      </c>
      <c r="B216" s="12" t="str">
        <f t="shared" si="15"/>
        <v>Sun</v>
      </c>
      <c r="C216" s="7">
        <f t="shared" si="16"/>
        <v>31</v>
      </c>
      <c r="H216" s="25">
        <f t="shared" si="17"/>
        <v>0</v>
      </c>
      <c r="I216" s="25">
        <f t="shared" si="18"/>
        <v>0</v>
      </c>
      <c r="J216" s="25">
        <f t="shared" si="19"/>
        <v>0</v>
      </c>
    </row>
    <row r="217" spans="1:10" x14ac:dyDescent="0.25">
      <c r="A217" s="3">
        <v>42584</v>
      </c>
      <c r="B217" s="12" t="str">
        <f t="shared" si="15"/>
        <v>Mon</v>
      </c>
      <c r="C217" s="7">
        <f t="shared" si="16"/>
        <v>32</v>
      </c>
      <c r="H217" s="25">
        <f t="shared" si="17"/>
        <v>7.8</v>
      </c>
      <c r="I217" s="25">
        <f t="shared" si="18"/>
        <v>0</v>
      </c>
      <c r="J217" s="25">
        <f t="shared" si="19"/>
        <v>0</v>
      </c>
    </row>
    <row r="218" spans="1:10" x14ac:dyDescent="0.25">
      <c r="A218" s="3">
        <v>42585</v>
      </c>
      <c r="B218" s="12" t="str">
        <f t="shared" si="15"/>
        <v>Tue</v>
      </c>
      <c r="C218" s="7">
        <f t="shared" si="16"/>
        <v>32</v>
      </c>
      <c r="H218" s="25">
        <f t="shared" si="17"/>
        <v>7.8</v>
      </c>
      <c r="I218" s="25">
        <f t="shared" si="18"/>
        <v>0</v>
      </c>
      <c r="J218" s="25">
        <f t="shared" si="19"/>
        <v>0</v>
      </c>
    </row>
    <row r="219" spans="1:10" x14ac:dyDescent="0.25">
      <c r="A219" s="3">
        <v>42586</v>
      </c>
      <c r="B219" s="12" t="str">
        <f t="shared" si="15"/>
        <v>Wed</v>
      </c>
      <c r="C219" s="7">
        <f t="shared" si="16"/>
        <v>32</v>
      </c>
      <c r="H219" s="25">
        <f t="shared" si="17"/>
        <v>7.8</v>
      </c>
      <c r="I219" s="25">
        <f t="shared" si="18"/>
        <v>0</v>
      </c>
      <c r="J219" s="25">
        <f t="shared" si="19"/>
        <v>0</v>
      </c>
    </row>
    <row r="220" spans="1:10" x14ac:dyDescent="0.25">
      <c r="A220" s="3">
        <v>42587</v>
      </c>
      <c r="B220" s="12" t="str">
        <f t="shared" si="15"/>
        <v>Thu</v>
      </c>
      <c r="C220" s="7">
        <f t="shared" si="16"/>
        <v>32</v>
      </c>
      <c r="H220" s="25">
        <f t="shared" si="17"/>
        <v>7.8</v>
      </c>
      <c r="I220" s="25">
        <f t="shared" si="18"/>
        <v>0</v>
      </c>
      <c r="J220" s="25">
        <f t="shared" si="19"/>
        <v>0</v>
      </c>
    </row>
    <row r="221" spans="1:10" x14ac:dyDescent="0.25">
      <c r="A221" s="3">
        <v>42588</v>
      </c>
      <c r="B221" s="12" t="str">
        <f t="shared" si="15"/>
        <v>Fri</v>
      </c>
      <c r="C221" s="7">
        <f t="shared" si="16"/>
        <v>32</v>
      </c>
      <c r="H221" s="25">
        <f t="shared" si="17"/>
        <v>7.8</v>
      </c>
      <c r="I221" s="25">
        <f t="shared" si="18"/>
        <v>0</v>
      </c>
      <c r="J221" s="25">
        <f t="shared" si="19"/>
        <v>0</v>
      </c>
    </row>
    <row r="222" spans="1:10" x14ac:dyDescent="0.25">
      <c r="A222" s="3">
        <v>42589</v>
      </c>
      <c r="B222" s="12" t="str">
        <f t="shared" si="15"/>
        <v>Sat</v>
      </c>
      <c r="C222" s="7">
        <f t="shared" si="16"/>
        <v>32</v>
      </c>
      <c r="H222" s="25">
        <f t="shared" si="17"/>
        <v>0</v>
      </c>
      <c r="I222" s="25">
        <f t="shared" si="18"/>
        <v>0</v>
      </c>
      <c r="J222" s="25">
        <f t="shared" si="19"/>
        <v>0</v>
      </c>
    </row>
    <row r="223" spans="1:10" x14ac:dyDescent="0.25">
      <c r="A223" s="3">
        <v>42590</v>
      </c>
      <c r="B223" s="12" t="str">
        <f t="shared" si="15"/>
        <v>Sun</v>
      </c>
      <c r="C223" s="7">
        <f t="shared" si="16"/>
        <v>32</v>
      </c>
      <c r="H223" s="25">
        <f t="shared" si="17"/>
        <v>0</v>
      </c>
      <c r="I223" s="25">
        <f t="shared" si="18"/>
        <v>0</v>
      </c>
      <c r="J223" s="25">
        <f t="shared" si="19"/>
        <v>0</v>
      </c>
    </row>
    <row r="224" spans="1:10" x14ac:dyDescent="0.25">
      <c r="A224" s="3">
        <v>42591</v>
      </c>
      <c r="B224" s="12" t="str">
        <f t="shared" si="15"/>
        <v>Mon</v>
      </c>
      <c r="C224" s="7">
        <f t="shared" si="16"/>
        <v>33</v>
      </c>
      <c r="H224" s="25">
        <f t="shared" si="17"/>
        <v>7.8</v>
      </c>
      <c r="I224" s="25">
        <f t="shared" si="18"/>
        <v>0</v>
      </c>
      <c r="J224" s="25">
        <f t="shared" si="19"/>
        <v>0</v>
      </c>
    </row>
    <row r="225" spans="1:10" x14ac:dyDescent="0.25">
      <c r="A225" s="3">
        <v>42592</v>
      </c>
      <c r="B225" s="12" t="str">
        <f t="shared" si="15"/>
        <v>Tue</v>
      </c>
      <c r="C225" s="7">
        <f t="shared" si="16"/>
        <v>33</v>
      </c>
      <c r="H225" s="25">
        <f t="shared" si="17"/>
        <v>7.8</v>
      </c>
      <c r="I225" s="25">
        <f t="shared" si="18"/>
        <v>0</v>
      </c>
      <c r="J225" s="25">
        <f t="shared" si="19"/>
        <v>0</v>
      </c>
    </row>
    <row r="226" spans="1:10" x14ac:dyDescent="0.25">
      <c r="A226" s="3">
        <v>42593</v>
      </c>
      <c r="B226" s="12" t="str">
        <f t="shared" si="15"/>
        <v>Wed</v>
      </c>
      <c r="C226" s="7">
        <f t="shared" si="16"/>
        <v>33</v>
      </c>
      <c r="H226" s="25">
        <f t="shared" si="17"/>
        <v>7.8</v>
      </c>
      <c r="I226" s="25">
        <f t="shared" si="18"/>
        <v>0</v>
      </c>
      <c r="J226" s="25">
        <f t="shared" si="19"/>
        <v>0</v>
      </c>
    </row>
    <row r="227" spans="1:10" x14ac:dyDescent="0.25">
      <c r="A227" s="3">
        <v>42594</v>
      </c>
      <c r="B227" s="12" t="str">
        <f t="shared" si="15"/>
        <v>Thu</v>
      </c>
      <c r="C227" s="7">
        <f t="shared" si="16"/>
        <v>33</v>
      </c>
      <c r="H227" s="25">
        <f t="shared" si="17"/>
        <v>7.8</v>
      </c>
      <c r="I227" s="25">
        <f t="shared" si="18"/>
        <v>0</v>
      </c>
      <c r="J227" s="25">
        <f t="shared" si="19"/>
        <v>0</v>
      </c>
    </row>
    <row r="228" spans="1:10" x14ac:dyDescent="0.25">
      <c r="A228" s="3">
        <v>42595</v>
      </c>
      <c r="B228" s="12" t="str">
        <f t="shared" si="15"/>
        <v>Fri</v>
      </c>
      <c r="C228" s="7">
        <f t="shared" si="16"/>
        <v>33</v>
      </c>
      <c r="H228" s="25">
        <f t="shared" si="17"/>
        <v>7.8</v>
      </c>
      <c r="I228" s="25">
        <f t="shared" si="18"/>
        <v>0</v>
      </c>
      <c r="J228" s="25">
        <f t="shared" si="19"/>
        <v>0</v>
      </c>
    </row>
    <row r="229" spans="1:10" x14ac:dyDescent="0.25">
      <c r="A229" s="3">
        <v>42596</v>
      </c>
      <c r="B229" s="12" t="str">
        <f t="shared" si="15"/>
        <v>Sat</v>
      </c>
      <c r="C229" s="7">
        <f t="shared" si="16"/>
        <v>33</v>
      </c>
      <c r="H229" s="25">
        <f t="shared" si="17"/>
        <v>0</v>
      </c>
      <c r="I229" s="25">
        <f t="shared" si="18"/>
        <v>0</v>
      </c>
      <c r="J229" s="25">
        <f t="shared" si="19"/>
        <v>0</v>
      </c>
    </row>
    <row r="230" spans="1:10" x14ac:dyDescent="0.25">
      <c r="A230" s="3">
        <v>42597</v>
      </c>
      <c r="B230" s="12" t="str">
        <f t="shared" si="15"/>
        <v>Sun</v>
      </c>
      <c r="C230" s="7">
        <f t="shared" si="16"/>
        <v>33</v>
      </c>
      <c r="H230" s="25">
        <f t="shared" si="17"/>
        <v>0</v>
      </c>
      <c r="I230" s="25">
        <f t="shared" si="18"/>
        <v>0</v>
      </c>
      <c r="J230" s="25">
        <f t="shared" si="19"/>
        <v>0</v>
      </c>
    </row>
    <row r="231" spans="1:10" x14ac:dyDescent="0.25">
      <c r="A231" s="3">
        <v>42598</v>
      </c>
      <c r="B231" s="12" t="str">
        <f t="shared" si="15"/>
        <v>Mon</v>
      </c>
      <c r="C231" s="7">
        <f t="shared" si="16"/>
        <v>34</v>
      </c>
      <c r="H231" s="25">
        <f t="shared" si="17"/>
        <v>7.8</v>
      </c>
      <c r="I231" s="25">
        <f t="shared" si="18"/>
        <v>0</v>
      </c>
      <c r="J231" s="25">
        <f t="shared" si="19"/>
        <v>0</v>
      </c>
    </row>
    <row r="232" spans="1:10" x14ac:dyDescent="0.25">
      <c r="A232" s="3">
        <v>42599</v>
      </c>
      <c r="B232" s="12" t="str">
        <f t="shared" si="15"/>
        <v>Tue</v>
      </c>
      <c r="C232" s="7">
        <f t="shared" si="16"/>
        <v>34</v>
      </c>
      <c r="H232" s="25">
        <f t="shared" si="17"/>
        <v>7.8</v>
      </c>
      <c r="I232" s="25">
        <f t="shared" si="18"/>
        <v>0</v>
      </c>
      <c r="J232" s="25">
        <f t="shared" si="19"/>
        <v>0</v>
      </c>
    </row>
    <row r="233" spans="1:10" x14ac:dyDescent="0.25">
      <c r="A233" s="3">
        <v>42600</v>
      </c>
      <c r="B233" s="12" t="str">
        <f t="shared" si="15"/>
        <v>Wed</v>
      </c>
      <c r="C233" s="7">
        <f t="shared" si="16"/>
        <v>34</v>
      </c>
      <c r="H233" s="25">
        <f t="shared" si="17"/>
        <v>7.8</v>
      </c>
      <c r="I233" s="25">
        <f t="shared" si="18"/>
        <v>0</v>
      </c>
      <c r="J233" s="25">
        <f t="shared" si="19"/>
        <v>0</v>
      </c>
    </row>
    <row r="234" spans="1:10" x14ac:dyDescent="0.25">
      <c r="A234" s="3">
        <v>42601</v>
      </c>
      <c r="B234" s="12" t="str">
        <f t="shared" si="15"/>
        <v>Thu</v>
      </c>
      <c r="C234" s="7">
        <f t="shared" si="16"/>
        <v>34</v>
      </c>
      <c r="H234" s="25">
        <f t="shared" si="17"/>
        <v>7.8</v>
      </c>
      <c r="I234" s="25">
        <f t="shared" si="18"/>
        <v>0</v>
      </c>
      <c r="J234" s="25">
        <f t="shared" si="19"/>
        <v>0</v>
      </c>
    </row>
    <row r="235" spans="1:10" x14ac:dyDescent="0.25">
      <c r="A235" s="3">
        <v>42602</v>
      </c>
      <c r="B235" s="12" t="str">
        <f t="shared" si="15"/>
        <v>Fri</v>
      </c>
      <c r="C235" s="7">
        <f t="shared" si="16"/>
        <v>34</v>
      </c>
      <c r="H235" s="25">
        <f t="shared" si="17"/>
        <v>7.8</v>
      </c>
      <c r="I235" s="25">
        <f t="shared" si="18"/>
        <v>0</v>
      </c>
      <c r="J235" s="25">
        <f t="shared" si="19"/>
        <v>0</v>
      </c>
    </row>
    <row r="236" spans="1:10" x14ac:dyDescent="0.25">
      <c r="A236" s="3">
        <v>42603</v>
      </c>
      <c r="B236" s="12" t="str">
        <f t="shared" si="15"/>
        <v>Sat</v>
      </c>
      <c r="C236" s="7">
        <f t="shared" si="16"/>
        <v>34</v>
      </c>
      <c r="H236" s="25">
        <f t="shared" si="17"/>
        <v>0</v>
      </c>
      <c r="I236" s="25">
        <f t="shared" si="18"/>
        <v>0</v>
      </c>
      <c r="J236" s="25">
        <f t="shared" si="19"/>
        <v>0</v>
      </c>
    </row>
    <row r="237" spans="1:10" x14ac:dyDescent="0.25">
      <c r="A237" s="3">
        <v>42604</v>
      </c>
      <c r="B237" s="12" t="str">
        <f t="shared" si="15"/>
        <v>Sun</v>
      </c>
      <c r="C237" s="7">
        <f t="shared" si="16"/>
        <v>34</v>
      </c>
      <c r="H237" s="25">
        <f t="shared" si="17"/>
        <v>0</v>
      </c>
      <c r="I237" s="25">
        <f t="shared" si="18"/>
        <v>0</v>
      </c>
      <c r="J237" s="25">
        <f t="shared" si="19"/>
        <v>0</v>
      </c>
    </row>
    <row r="238" spans="1:10" x14ac:dyDescent="0.25">
      <c r="A238" s="3">
        <v>42605</v>
      </c>
      <c r="B238" s="12" t="str">
        <f t="shared" si="15"/>
        <v>Mon</v>
      </c>
      <c r="C238" s="7">
        <f t="shared" si="16"/>
        <v>35</v>
      </c>
      <c r="H238" s="25">
        <f t="shared" si="17"/>
        <v>7.8</v>
      </c>
      <c r="I238" s="25">
        <f t="shared" si="18"/>
        <v>0</v>
      </c>
      <c r="J238" s="25">
        <f t="shared" si="19"/>
        <v>0</v>
      </c>
    </row>
    <row r="239" spans="1:10" x14ac:dyDescent="0.25">
      <c r="A239" s="3">
        <v>42606</v>
      </c>
      <c r="B239" s="12" t="str">
        <f t="shared" si="15"/>
        <v>Tue</v>
      </c>
      <c r="C239" s="7">
        <f t="shared" si="16"/>
        <v>35</v>
      </c>
      <c r="H239" s="25">
        <f t="shared" si="17"/>
        <v>7.8</v>
      </c>
      <c r="I239" s="25">
        <f t="shared" si="18"/>
        <v>0</v>
      </c>
      <c r="J239" s="25">
        <f t="shared" si="19"/>
        <v>0</v>
      </c>
    </row>
    <row r="240" spans="1:10" x14ac:dyDescent="0.25">
      <c r="A240" s="3">
        <v>42607</v>
      </c>
      <c r="B240" s="12" t="str">
        <f t="shared" si="15"/>
        <v>Wed</v>
      </c>
      <c r="C240" s="7">
        <f t="shared" si="16"/>
        <v>35</v>
      </c>
      <c r="H240" s="25">
        <f t="shared" si="17"/>
        <v>7.8</v>
      </c>
      <c r="I240" s="25">
        <f t="shared" si="18"/>
        <v>0</v>
      </c>
      <c r="J240" s="25">
        <f t="shared" si="19"/>
        <v>0</v>
      </c>
    </row>
    <row r="241" spans="1:10" x14ac:dyDescent="0.25">
      <c r="A241" s="3">
        <v>42608</v>
      </c>
      <c r="B241" s="12" t="str">
        <f t="shared" si="15"/>
        <v>Thu</v>
      </c>
      <c r="C241" s="7">
        <f t="shared" si="16"/>
        <v>35</v>
      </c>
      <c r="H241" s="25">
        <f t="shared" si="17"/>
        <v>7.8</v>
      </c>
      <c r="I241" s="25">
        <f t="shared" si="18"/>
        <v>0</v>
      </c>
      <c r="J241" s="25">
        <f t="shared" si="19"/>
        <v>0</v>
      </c>
    </row>
    <row r="242" spans="1:10" x14ac:dyDescent="0.25">
      <c r="A242" s="3">
        <v>42609</v>
      </c>
      <c r="B242" s="12" t="str">
        <f t="shared" si="15"/>
        <v>Fri</v>
      </c>
      <c r="C242" s="7">
        <f t="shared" si="16"/>
        <v>35</v>
      </c>
      <c r="H242" s="25">
        <f t="shared" si="17"/>
        <v>7.8</v>
      </c>
      <c r="I242" s="25">
        <f t="shared" si="18"/>
        <v>0</v>
      </c>
      <c r="J242" s="25">
        <f t="shared" si="19"/>
        <v>0</v>
      </c>
    </row>
    <row r="243" spans="1:10" x14ac:dyDescent="0.25">
      <c r="A243" s="3">
        <v>42610</v>
      </c>
      <c r="B243" s="12" t="str">
        <f t="shared" si="15"/>
        <v>Sat</v>
      </c>
      <c r="C243" s="7">
        <f t="shared" si="16"/>
        <v>35</v>
      </c>
      <c r="H243" s="25">
        <f t="shared" si="17"/>
        <v>0</v>
      </c>
      <c r="I243" s="25">
        <f t="shared" si="18"/>
        <v>0</v>
      </c>
      <c r="J243" s="25">
        <f t="shared" si="19"/>
        <v>0</v>
      </c>
    </row>
    <row r="244" spans="1:10" x14ac:dyDescent="0.25">
      <c r="A244" s="3">
        <v>42611</v>
      </c>
      <c r="B244" s="12" t="str">
        <f t="shared" si="15"/>
        <v>Sun</v>
      </c>
      <c r="C244" s="7">
        <f t="shared" si="16"/>
        <v>35</v>
      </c>
      <c r="H244" s="25">
        <f t="shared" si="17"/>
        <v>0</v>
      </c>
      <c r="I244" s="25">
        <f t="shared" si="18"/>
        <v>0</v>
      </c>
      <c r="J244" s="25">
        <f t="shared" si="19"/>
        <v>0</v>
      </c>
    </row>
    <row r="245" spans="1:10" x14ac:dyDescent="0.25">
      <c r="A245" s="3">
        <v>42612</v>
      </c>
      <c r="B245" s="12" t="str">
        <f t="shared" si="15"/>
        <v>Mon</v>
      </c>
      <c r="C245" s="7">
        <f t="shared" si="16"/>
        <v>36</v>
      </c>
      <c r="H245" s="25">
        <f t="shared" si="17"/>
        <v>7.8</v>
      </c>
      <c r="I245" s="25">
        <f t="shared" si="18"/>
        <v>0</v>
      </c>
      <c r="J245" s="25">
        <f t="shared" si="19"/>
        <v>0</v>
      </c>
    </row>
    <row r="246" spans="1:10" x14ac:dyDescent="0.25">
      <c r="A246" s="3">
        <v>42613</v>
      </c>
      <c r="B246" s="12" t="str">
        <f t="shared" si="15"/>
        <v>Tue</v>
      </c>
      <c r="C246" s="7">
        <f t="shared" si="16"/>
        <v>36</v>
      </c>
      <c r="H246" s="25">
        <f t="shared" si="17"/>
        <v>7.8</v>
      </c>
      <c r="I246" s="25">
        <f t="shared" si="18"/>
        <v>0</v>
      </c>
      <c r="J246" s="25">
        <f t="shared" si="19"/>
        <v>0</v>
      </c>
    </row>
    <row r="247" spans="1:10" x14ac:dyDescent="0.25">
      <c r="A247" s="3">
        <v>42614</v>
      </c>
      <c r="B247" s="12" t="str">
        <f t="shared" si="15"/>
        <v>Wed</v>
      </c>
      <c r="C247" s="7">
        <f t="shared" si="16"/>
        <v>36</v>
      </c>
      <c r="H247" s="25">
        <f t="shared" si="17"/>
        <v>7.8</v>
      </c>
      <c r="I247" s="25">
        <f t="shared" si="18"/>
        <v>0</v>
      </c>
      <c r="J247" s="25">
        <f t="shared" si="19"/>
        <v>0</v>
      </c>
    </row>
    <row r="248" spans="1:10" x14ac:dyDescent="0.25">
      <c r="A248" s="3">
        <v>42615</v>
      </c>
      <c r="B248" s="12" t="str">
        <f t="shared" si="15"/>
        <v>Thu</v>
      </c>
      <c r="C248" s="7">
        <f t="shared" si="16"/>
        <v>36</v>
      </c>
      <c r="H248" s="25">
        <f t="shared" si="17"/>
        <v>7.8</v>
      </c>
      <c r="I248" s="25">
        <f t="shared" si="18"/>
        <v>0</v>
      </c>
      <c r="J248" s="25">
        <f t="shared" si="19"/>
        <v>0</v>
      </c>
    </row>
    <row r="249" spans="1:10" x14ac:dyDescent="0.25">
      <c r="A249" s="3">
        <v>42616</v>
      </c>
      <c r="B249" s="12" t="str">
        <f t="shared" si="15"/>
        <v>Fri</v>
      </c>
      <c r="C249" s="7">
        <f t="shared" si="16"/>
        <v>36</v>
      </c>
      <c r="H249" s="25">
        <f t="shared" si="17"/>
        <v>7.8</v>
      </c>
      <c r="I249" s="25">
        <f t="shared" si="18"/>
        <v>0</v>
      </c>
      <c r="J249" s="25">
        <f t="shared" si="19"/>
        <v>0</v>
      </c>
    </row>
    <row r="250" spans="1:10" x14ac:dyDescent="0.25">
      <c r="A250" s="3">
        <v>42617</v>
      </c>
      <c r="B250" s="12" t="str">
        <f t="shared" si="15"/>
        <v>Sat</v>
      </c>
      <c r="C250" s="7">
        <f t="shared" si="16"/>
        <v>36</v>
      </c>
      <c r="H250" s="25">
        <f t="shared" si="17"/>
        <v>0</v>
      </c>
      <c r="I250" s="25">
        <f t="shared" si="18"/>
        <v>0</v>
      </c>
      <c r="J250" s="25">
        <f t="shared" si="19"/>
        <v>0</v>
      </c>
    </row>
    <row r="251" spans="1:10" x14ac:dyDescent="0.25">
      <c r="A251" s="3">
        <v>42618</v>
      </c>
      <c r="B251" s="12" t="str">
        <f t="shared" si="15"/>
        <v>Sun</v>
      </c>
      <c r="C251" s="7">
        <f t="shared" si="16"/>
        <v>36</v>
      </c>
      <c r="H251" s="25">
        <f t="shared" si="17"/>
        <v>0</v>
      </c>
      <c r="I251" s="25">
        <f t="shared" si="18"/>
        <v>0</v>
      </c>
      <c r="J251" s="25">
        <f t="shared" si="19"/>
        <v>0</v>
      </c>
    </row>
    <row r="252" spans="1:10" x14ac:dyDescent="0.25">
      <c r="A252" s="3">
        <v>42619</v>
      </c>
      <c r="B252" s="12" t="str">
        <f t="shared" si="15"/>
        <v>Mon</v>
      </c>
      <c r="C252" s="7">
        <f t="shared" si="16"/>
        <v>37</v>
      </c>
      <c r="H252" s="25">
        <f t="shared" si="17"/>
        <v>7.8</v>
      </c>
      <c r="I252" s="25">
        <f t="shared" si="18"/>
        <v>0</v>
      </c>
      <c r="J252" s="25">
        <f t="shared" si="19"/>
        <v>0</v>
      </c>
    </row>
    <row r="253" spans="1:10" x14ac:dyDescent="0.25">
      <c r="A253" s="3">
        <v>42620</v>
      </c>
      <c r="B253" s="12" t="str">
        <f t="shared" si="15"/>
        <v>Tue</v>
      </c>
      <c r="C253" s="7">
        <f t="shared" si="16"/>
        <v>37</v>
      </c>
      <c r="H253" s="25">
        <f t="shared" si="17"/>
        <v>7.8</v>
      </c>
      <c r="I253" s="25">
        <f t="shared" si="18"/>
        <v>0</v>
      </c>
      <c r="J253" s="25">
        <f t="shared" si="19"/>
        <v>0</v>
      </c>
    </row>
    <row r="254" spans="1:10" x14ac:dyDescent="0.25">
      <c r="A254" s="3">
        <v>42621</v>
      </c>
      <c r="B254" s="12" t="str">
        <f t="shared" si="15"/>
        <v>Wed</v>
      </c>
      <c r="C254" s="7">
        <f t="shared" si="16"/>
        <v>37</v>
      </c>
      <c r="D254" s="10"/>
      <c r="H254" s="25">
        <f t="shared" si="17"/>
        <v>7.8</v>
      </c>
      <c r="I254" s="25">
        <f t="shared" si="18"/>
        <v>0</v>
      </c>
      <c r="J254" s="25">
        <f t="shared" si="19"/>
        <v>0</v>
      </c>
    </row>
    <row r="255" spans="1:10" x14ac:dyDescent="0.25">
      <c r="A255" s="3">
        <v>42622</v>
      </c>
      <c r="B255" s="12" t="str">
        <f t="shared" si="15"/>
        <v>Thu</v>
      </c>
      <c r="C255" s="7">
        <f t="shared" si="16"/>
        <v>37</v>
      </c>
      <c r="D255" s="10"/>
      <c r="H255" s="25">
        <f t="shared" si="17"/>
        <v>7.8</v>
      </c>
      <c r="I255" s="25">
        <f t="shared" si="18"/>
        <v>0</v>
      </c>
      <c r="J255" s="25">
        <f t="shared" si="19"/>
        <v>0</v>
      </c>
    </row>
    <row r="256" spans="1:10" x14ac:dyDescent="0.25">
      <c r="A256" s="3">
        <v>42623</v>
      </c>
      <c r="B256" s="12" t="str">
        <f t="shared" si="15"/>
        <v>Fri</v>
      </c>
      <c r="C256" s="7">
        <f t="shared" si="16"/>
        <v>37</v>
      </c>
      <c r="D256" s="10"/>
      <c r="H256" s="25">
        <f t="shared" si="17"/>
        <v>7.8</v>
      </c>
      <c r="I256" s="25">
        <f t="shared" si="18"/>
        <v>0</v>
      </c>
      <c r="J256" s="25">
        <f t="shared" si="19"/>
        <v>0</v>
      </c>
    </row>
    <row r="257" spans="1:13" x14ac:dyDescent="0.25">
      <c r="A257" s="3">
        <v>42624</v>
      </c>
      <c r="B257" s="12" t="str">
        <f t="shared" si="15"/>
        <v>Sat</v>
      </c>
      <c r="C257" s="7">
        <f t="shared" si="16"/>
        <v>37</v>
      </c>
      <c r="D257" s="10"/>
      <c r="H257" s="25">
        <f t="shared" si="17"/>
        <v>0</v>
      </c>
      <c r="I257" s="25">
        <f t="shared" si="18"/>
        <v>0</v>
      </c>
      <c r="J257" s="25">
        <f t="shared" si="19"/>
        <v>0</v>
      </c>
    </row>
    <row r="258" spans="1:13" x14ac:dyDescent="0.25">
      <c r="A258" s="3">
        <v>42625</v>
      </c>
      <c r="B258" s="12" t="str">
        <f t="shared" ref="B258:B267" si="20">CHOOSE(WEEKDAY($A258,2),"Mon","Tue","Wed","Thu","Fri","Sat","Sun")</f>
        <v>Sun</v>
      </c>
      <c r="C258" s="7">
        <f t="shared" ref="C258:C267" si="21">_xlfn.ISOWEEKNUM($A258)</f>
        <v>37</v>
      </c>
      <c r="D258" s="10"/>
      <c r="H258" s="25">
        <f t="shared" ref="H258:H321" si="22">IF(AND(WEEKDAY($A258,2)&lt;=5,COUNTIF(timeaway_types, $D258)=0),7.8,0)</f>
        <v>0</v>
      </c>
      <c r="I258" s="25">
        <f t="shared" ref="I258:I321" si="23">IF(COUNTIF(nonprod_types, $D258)&gt;0,0, (($F258-$E258)-$G258)*24)</f>
        <v>0</v>
      </c>
      <c r="J258" s="25">
        <f t="shared" si="19"/>
        <v>0</v>
      </c>
      <c r="L258" s="6"/>
      <c r="M258" s="6"/>
    </row>
    <row r="259" spans="1:13" x14ac:dyDescent="0.25">
      <c r="A259" s="3">
        <v>42626</v>
      </c>
      <c r="B259" s="12" t="str">
        <f t="shared" si="20"/>
        <v>Mon</v>
      </c>
      <c r="C259" s="7">
        <f t="shared" si="21"/>
        <v>38</v>
      </c>
      <c r="H259" s="25">
        <f t="shared" si="22"/>
        <v>7.8</v>
      </c>
      <c r="I259" s="25">
        <f t="shared" si="23"/>
        <v>0</v>
      </c>
      <c r="J259" s="25">
        <f t="shared" ref="J259:J274" si="24">IF(D259="",0,$I259-$H259)</f>
        <v>0</v>
      </c>
    </row>
    <row r="260" spans="1:13" x14ac:dyDescent="0.25">
      <c r="A260" s="3">
        <v>42627</v>
      </c>
      <c r="B260" s="12" t="str">
        <f t="shared" si="20"/>
        <v>Tue</v>
      </c>
      <c r="C260" s="7">
        <f t="shared" si="21"/>
        <v>38</v>
      </c>
      <c r="H260" s="25">
        <f t="shared" si="22"/>
        <v>7.8</v>
      </c>
      <c r="I260" s="25">
        <f t="shared" si="23"/>
        <v>0</v>
      </c>
      <c r="J260" s="25">
        <f t="shared" si="24"/>
        <v>0</v>
      </c>
    </row>
    <row r="261" spans="1:13" x14ac:dyDescent="0.25">
      <c r="A261" s="3">
        <v>42628</v>
      </c>
      <c r="B261" s="12" t="str">
        <f t="shared" si="20"/>
        <v>Wed</v>
      </c>
      <c r="C261" s="7">
        <f t="shared" si="21"/>
        <v>38</v>
      </c>
      <c r="D261" s="10"/>
      <c r="H261" s="25">
        <f t="shared" si="22"/>
        <v>7.8</v>
      </c>
      <c r="I261" s="25">
        <f t="shared" si="23"/>
        <v>0</v>
      </c>
      <c r="J261" s="25">
        <f t="shared" si="24"/>
        <v>0</v>
      </c>
    </row>
    <row r="262" spans="1:13" x14ac:dyDescent="0.25">
      <c r="A262" s="3">
        <v>42629</v>
      </c>
      <c r="B262" s="12" t="str">
        <f t="shared" si="20"/>
        <v>Thu</v>
      </c>
      <c r="C262" s="7">
        <f t="shared" si="21"/>
        <v>38</v>
      </c>
      <c r="D262" s="10"/>
      <c r="H262" s="25">
        <f t="shared" si="22"/>
        <v>7.8</v>
      </c>
      <c r="I262" s="25">
        <f t="shared" si="23"/>
        <v>0</v>
      </c>
      <c r="J262" s="25">
        <f t="shared" si="24"/>
        <v>0</v>
      </c>
    </row>
    <row r="263" spans="1:13" x14ac:dyDescent="0.25">
      <c r="A263" s="3">
        <v>42630</v>
      </c>
      <c r="B263" s="12" t="str">
        <f t="shared" si="20"/>
        <v>Fri</v>
      </c>
      <c r="C263" s="7">
        <f t="shared" si="21"/>
        <v>38</v>
      </c>
      <c r="D263" s="10"/>
      <c r="H263" s="25">
        <f t="shared" si="22"/>
        <v>7.8</v>
      </c>
      <c r="I263" s="25">
        <f t="shared" si="23"/>
        <v>0</v>
      </c>
      <c r="J263" s="25">
        <f t="shared" si="24"/>
        <v>0</v>
      </c>
    </row>
    <row r="264" spans="1:13" x14ac:dyDescent="0.25">
      <c r="A264" s="3">
        <v>42631</v>
      </c>
      <c r="B264" s="12" t="str">
        <f t="shared" si="20"/>
        <v>Sat</v>
      </c>
      <c r="C264" s="7">
        <f t="shared" si="21"/>
        <v>38</v>
      </c>
      <c r="D264" s="10"/>
      <c r="H264" s="25">
        <f t="shared" si="22"/>
        <v>0</v>
      </c>
      <c r="I264" s="25">
        <f t="shared" si="23"/>
        <v>0</v>
      </c>
      <c r="J264" s="25">
        <f t="shared" si="24"/>
        <v>0</v>
      </c>
    </row>
    <row r="265" spans="1:13" x14ac:dyDescent="0.25">
      <c r="A265" s="3">
        <v>42632</v>
      </c>
      <c r="B265" s="12" t="str">
        <f t="shared" si="20"/>
        <v>Sun</v>
      </c>
      <c r="C265" s="7">
        <f t="shared" si="21"/>
        <v>38</v>
      </c>
      <c r="H265" s="25">
        <f t="shared" si="22"/>
        <v>0</v>
      </c>
      <c r="I265" s="25">
        <f t="shared" si="23"/>
        <v>0</v>
      </c>
      <c r="J265" s="25">
        <f t="shared" si="24"/>
        <v>0</v>
      </c>
    </row>
    <row r="266" spans="1:13" x14ac:dyDescent="0.25">
      <c r="A266" s="3">
        <v>42633</v>
      </c>
      <c r="B266" s="12" t="str">
        <f t="shared" si="20"/>
        <v>Mon</v>
      </c>
      <c r="C266" s="7">
        <f t="shared" si="21"/>
        <v>39</v>
      </c>
      <c r="H266" s="25">
        <f t="shared" si="22"/>
        <v>7.8</v>
      </c>
      <c r="I266" s="25">
        <f t="shared" si="23"/>
        <v>0</v>
      </c>
      <c r="J266" s="25">
        <f t="shared" si="24"/>
        <v>0</v>
      </c>
    </row>
    <row r="267" spans="1:13" x14ac:dyDescent="0.25">
      <c r="A267" s="3">
        <v>42634</v>
      </c>
      <c r="B267" s="12" t="str">
        <f t="shared" si="20"/>
        <v>Tue</v>
      </c>
      <c r="C267" s="7">
        <f t="shared" si="21"/>
        <v>39</v>
      </c>
      <c r="H267" s="25">
        <f t="shared" si="22"/>
        <v>7.8</v>
      </c>
      <c r="I267" s="25">
        <f t="shared" si="23"/>
        <v>0</v>
      </c>
      <c r="J267" s="25">
        <f t="shared" si="24"/>
        <v>0</v>
      </c>
    </row>
    <row r="268" spans="1:13" x14ac:dyDescent="0.25">
      <c r="A268" s="3">
        <v>42635</v>
      </c>
      <c r="B268" s="12" t="str">
        <f>CHOOSE(WEEKDAY($A268,2),"Mon","Tue","Wed","Thu","Fri","Sat","Sun")</f>
        <v>Wed</v>
      </c>
      <c r="C268" s="7">
        <f t="shared" ref="C268:C332" si="25">_xlfn.ISOWEEKNUM($A268)</f>
        <v>39</v>
      </c>
      <c r="H268" s="25">
        <f t="shared" si="22"/>
        <v>7.8</v>
      </c>
      <c r="I268" s="25">
        <f t="shared" si="23"/>
        <v>0</v>
      </c>
      <c r="J268" s="25">
        <f t="shared" si="24"/>
        <v>0</v>
      </c>
      <c r="K268" s="7"/>
    </row>
    <row r="269" spans="1:13" x14ac:dyDescent="0.25">
      <c r="A269" s="3">
        <v>42636</v>
      </c>
      <c r="B269" s="12" t="str">
        <f t="shared" ref="B269:B332" si="26">CHOOSE(WEEKDAY($A269,2),"Mon","Tue","Wed","Thu","Fri","Sat","Sun")</f>
        <v>Thu</v>
      </c>
      <c r="C269" s="7">
        <f t="shared" si="25"/>
        <v>39</v>
      </c>
      <c r="H269" s="25">
        <f t="shared" si="22"/>
        <v>7.8</v>
      </c>
      <c r="I269" s="25">
        <f t="shared" si="23"/>
        <v>0</v>
      </c>
      <c r="J269" s="25">
        <f t="shared" si="24"/>
        <v>0</v>
      </c>
    </row>
    <row r="270" spans="1:13" x14ac:dyDescent="0.25">
      <c r="A270" s="3">
        <v>42637</v>
      </c>
      <c r="B270" s="12" t="str">
        <f t="shared" si="26"/>
        <v>Fri</v>
      </c>
      <c r="C270" s="7">
        <f t="shared" si="25"/>
        <v>39</v>
      </c>
      <c r="H270" s="25">
        <f t="shared" si="22"/>
        <v>7.8</v>
      </c>
      <c r="I270" s="25">
        <f t="shared" si="23"/>
        <v>0</v>
      </c>
      <c r="J270" s="25">
        <f t="shared" si="24"/>
        <v>0</v>
      </c>
    </row>
    <row r="271" spans="1:13" x14ac:dyDescent="0.25">
      <c r="A271" s="3">
        <v>42638</v>
      </c>
      <c r="B271" s="12" t="str">
        <f t="shared" si="26"/>
        <v>Sat</v>
      </c>
      <c r="C271" s="7">
        <f t="shared" si="25"/>
        <v>39</v>
      </c>
      <c r="H271" s="25">
        <f t="shared" si="22"/>
        <v>0</v>
      </c>
      <c r="I271" s="25">
        <f t="shared" si="23"/>
        <v>0</v>
      </c>
      <c r="J271" s="25">
        <f t="shared" si="24"/>
        <v>0</v>
      </c>
      <c r="K271" s="7"/>
    </row>
    <row r="272" spans="1:13" x14ac:dyDescent="0.25">
      <c r="A272" s="3">
        <v>42639</v>
      </c>
      <c r="B272" s="12" t="str">
        <f t="shared" si="26"/>
        <v>Sun</v>
      </c>
      <c r="C272" s="7">
        <f t="shared" si="25"/>
        <v>39</v>
      </c>
      <c r="H272" s="25">
        <f t="shared" si="22"/>
        <v>0</v>
      </c>
      <c r="I272" s="25">
        <f t="shared" si="23"/>
        <v>0</v>
      </c>
      <c r="J272" s="25">
        <f t="shared" si="24"/>
        <v>0</v>
      </c>
    </row>
    <row r="273" spans="1:12" x14ac:dyDescent="0.25">
      <c r="A273" s="3">
        <v>42640</v>
      </c>
      <c r="B273" s="12" t="str">
        <f t="shared" si="26"/>
        <v>Mon</v>
      </c>
      <c r="C273" s="7">
        <f t="shared" si="25"/>
        <v>40</v>
      </c>
      <c r="H273" s="25">
        <f t="shared" si="22"/>
        <v>7.8</v>
      </c>
      <c r="I273" s="25">
        <f t="shared" si="23"/>
        <v>0</v>
      </c>
      <c r="J273" s="25">
        <f t="shared" si="24"/>
        <v>0</v>
      </c>
    </row>
    <row r="274" spans="1:12" x14ac:dyDescent="0.25">
      <c r="A274" s="3">
        <v>42641</v>
      </c>
      <c r="B274" s="12" t="str">
        <f t="shared" si="26"/>
        <v>Tue</v>
      </c>
      <c r="C274" s="7">
        <f t="shared" si="25"/>
        <v>40</v>
      </c>
      <c r="H274" s="25">
        <f t="shared" si="22"/>
        <v>7.8</v>
      </c>
      <c r="I274" s="25">
        <f t="shared" si="23"/>
        <v>0</v>
      </c>
      <c r="J274" s="25">
        <f t="shared" si="24"/>
        <v>0</v>
      </c>
    </row>
    <row r="275" spans="1:12" x14ac:dyDescent="0.25">
      <c r="A275" s="3">
        <v>42642</v>
      </c>
      <c r="B275" s="12" t="str">
        <f t="shared" si="26"/>
        <v>Wed</v>
      </c>
      <c r="C275" s="7">
        <f t="shared" si="25"/>
        <v>40</v>
      </c>
      <c r="H275" s="25">
        <f t="shared" si="22"/>
        <v>7.8</v>
      </c>
      <c r="I275" s="25">
        <f t="shared" si="23"/>
        <v>0</v>
      </c>
      <c r="J275" s="25">
        <f>IF(D275="",0,$I275-$H275)</f>
        <v>0</v>
      </c>
      <c r="L275" s="24"/>
    </row>
    <row r="276" spans="1:12" x14ac:dyDescent="0.25">
      <c r="A276" s="3">
        <v>42643</v>
      </c>
      <c r="B276" s="12" t="str">
        <f t="shared" si="26"/>
        <v>Thu</v>
      </c>
      <c r="C276" s="7">
        <f t="shared" si="25"/>
        <v>40</v>
      </c>
      <c r="H276" s="25">
        <f t="shared" si="22"/>
        <v>7.8</v>
      </c>
      <c r="I276" s="25">
        <f t="shared" si="23"/>
        <v>0</v>
      </c>
      <c r="J276" s="25">
        <f t="shared" ref="J276:J339" si="27">IF(D276="",0,$I276-$H276)</f>
        <v>0</v>
      </c>
      <c r="L276" s="24"/>
    </row>
    <row r="277" spans="1:12" x14ac:dyDescent="0.25">
      <c r="A277" s="3">
        <v>42644</v>
      </c>
      <c r="B277" s="12" t="str">
        <f t="shared" si="26"/>
        <v>Fri</v>
      </c>
      <c r="C277" s="7">
        <f t="shared" si="25"/>
        <v>40</v>
      </c>
      <c r="H277" s="25">
        <f t="shared" si="22"/>
        <v>7.8</v>
      </c>
      <c r="I277" s="25">
        <f t="shared" si="23"/>
        <v>0</v>
      </c>
      <c r="J277" s="25">
        <f t="shared" si="27"/>
        <v>0</v>
      </c>
      <c r="L277" s="24"/>
    </row>
    <row r="278" spans="1:12" x14ac:dyDescent="0.25">
      <c r="A278" s="3">
        <v>42645</v>
      </c>
      <c r="B278" s="12" t="str">
        <f t="shared" si="26"/>
        <v>Sat</v>
      </c>
      <c r="C278" s="7">
        <f t="shared" si="25"/>
        <v>40</v>
      </c>
      <c r="H278" s="25">
        <f t="shared" si="22"/>
        <v>0</v>
      </c>
      <c r="I278" s="25">
        <f t="shared" si="23"/>
        <v>0</v>
      </c>
      <c r="J278" s="25">
        <f t="shared" si="27"/>
        <v>0</v>
      </c>
      <c r="L278" s="24"/>
    </row>
    <row r="279" spans="1:12" x14ac:dyDescent="0.25">
      <c r="A279" s="3">
        <v>42646</v>
      </c>
      <c r="B279" s="12" t="str">
        <f t="shared" si="26"/>
        <v>Sun</v>
      </c>
      <c r="C279" s="7">
        <f t="shared" si="25"/>
        <v>40</v>
      </c>
      <c r="H279" s="25">
        <f t="shared" si="22"/>
        <v>0</v>
      </c>
      <c r="I279" s="25">
        <f t="shared" si="23"/>
        <v>0</v>
      </c>
      <c r="J279" s="25">
        <f t="shared" si="27"/>
        <v>0</v>
      </c>
      <c r="L279" s="24"/>
    </row>
    <row r="280" spans="1:12" x14ac:dyDescent="0.25">
      <c r="A280" s="3">
        <v>42647</v>
      </c>
      <c r="B280" s="12" t="str">
        <f t="shared" si="26"/>
        <v>Mon</v>
      </c>
      <c r="C280" s="7">
        <f t="shared" si="25"/>
        <v>41</v>
      </c>
      <c r="H280" s="25">
        <f t="shared" si="22"/>
        <v>7.8</v>
      </c>
      <c r="I280" s="25">
        <f t="shared" si="23"/>
        <v>0</v>
      </c>
      <c r="J280" s="25">
        <f t="shared" si="27"/>
        <v>0</v>
      </c>
    </row>
    <row r="281" spans="1:12" x14ac:dyDescent="0.25">
      <c r="A281" s="3">
        <v>42648</v>
      </c>
      <c r="B281" s="12" t="str">
        <f t="shared" si="26"/>
        <v>Tue</v>
      </c>
      <c r="C281" s="7">
        <f t="shared" si="25"/>
        <v>41</v>
      </c>
      <c r="H281" s="25">
        <f t="shared" si="22"/>
        <v>7.8</v>
      </c>
      <c r="I281" s="25">
        <f t="shared" si="23"/>
        <v>0</v>
      </c>
      <c r="J281" s="25">
        <f t="shared" si="27"/>
        <v>0</v>
      </c>
    </row>
    <row r="282" spans="1:12" x14ac:dyDescent="0.25">
      <c r="A282" s="3">
        <v>42649</v>
      </c>
      <c r="B282" s="12" t="str">
        <f t="shared" si="26"/>
        <v>Wed</v>
      </c>
      <c r="C282" s="7">
        <f t="shared" si="25"/>
        <v>41</v>
      </c>
      <c r="D282" s="10"/>
      <c r="H282" s="25">
        <f t="shared" si="22"/>
        <v>7.8</v>
      </c>
      <c r="I282" s="25">
        <f t="shared" si="23"/>
        <v>0</v>
      </c>
      <c r="J282" s="25">
        <f t="shared" si="27"/>
        <v>0</v>
      </c>
      <c r="K282" s="7"/>
    </row>
    <row r="283" spans="1:12" x14ac:dyDescent="0.25">
      <c r="A283" s="3">
        <v>42650</v>
      </c>
      <c r="B283" s="12" t="str">
        <f t="shared" si="26"/>
        <v>Thu</v>
      </c>
      <c r="C283" s="7">
        <f t="shared" si="25"/>
        <v>41</v>
      </c>
      <c r="D283" s="10"/>
      <c r="H283" s="25">
        <f t="shared" si="22"/>
        <v>7.8</v>
      </c>
      <c r="I283" s="25">
        <f t="shared" si="23"/>
        <v>0</v>
      </c>
      <c r="J283" s="25">
        <f t="shared" si="27"/>
        <v>0</v>
      </c>
      <c r="K283" s="7"/>
    </row>
    <row r="284" spans="1:12" x14ac:dyDescent="0.25">
      <c r="A284" s="3">
        <v>42651</v>
      </c>
      <c r="B284" s="12" t="str">
        <f t="shared" si="26"/>
        <v>Fri</v>
      </c>
      <c r="C284" s="7">
        <f t="shared" si="25"/>
        <v>41</v>
      </c>
      <c r="H284" s="25">
        <f t="shared" si="22"/>
        <v>7.8</v>
      </c>
      <c r="I284" s="25">
        <f t="shared" si="23"/>
        <v>0</v>
      </c>
      <c r="J284" s="25">
        <f t="shared" si="27"/>
        <v>0</v>
      </c>
      <c r="K284" s="7"/>
    </row>
    <row r="285" spans="1:12" x14ac:dyDescent="0.25">
      <c r="A285" s="3">
        <v>42652</v>
      </c>
      <c r="B285" s="12" t="str">
        <f t="shared" si="26"/>
        <v>Sat</v>
      </c>
      <c r="C285" s="7">
        <f t="shared" si="25"/>
        <v>41</v>
      </c>
      <c r="H285" s="25">
        <f t="shared" si="22"/>
        <v>0</v>
      </c>
      <c r="I285" s="25">
        <f t="shared" si="23"/>
        <v>0</v>
      </c>
      <c r="J285" s="25">
        <f t="shared" si="27"/>
        <v>0</v>
      </c>
    </row>
    <row r="286" spans="1:12" x14ac:dyDescent="0.25">
      <c r="A286" s="3">
        <v>42653</v>
      </c>
      <c r="B286" s="12" t="str">
        <f t="shared" si="26"/>
        <v>Sun</v>
      </c>
      <c r="C286" s="7">
        <f t="shared" si="25"/>
        <v>41</v>
      </c>
      <c r="H286" s="25">
        <f t="shared" si="22"/>
        <v>0</v>
      </c>
      <c r="I286" s="25">
        <f t="shared" si="23"/>
        <v>0</v>
      </c>
      <c r="J286" s="25">
        <f t="shared" si="27"/>
        <v>0</v>
      </c>
    </row>
    <row r="287" spans="1:12" x14ac:dyDescent="0.25">
      <c r="A287" s="3">
        <v>42654</v>
      </c>
      <c r="B287" s="12" t="str">
        <f t="shared" si="26"/>
        <v>Mon</v>
      </c>
      <c r="C287" s="7">
        <f t="shared" si="25"/>
        <v>42</v>
      </c>
      <c r="H287" s="25">
        <f t="shared" si="22"/>
        <v>7.8</v>
      </c>
      <c r="I287" s="25">
        <f t="shared" si="23"/>
        <v>0</v>
      </c>
      <c r="J287" s="25">
        <f t="shared" si="27"/>
        <v>0</v>
      </c>
    </row>
    <row r="288" spans="1:12" x14ac:dyDescent="0.25">
      <c r="A288" s="3">
        <v>42655</v>
      </c>
      <c r="B288" s="12" t="str">
        <f t="shared" si="26"/>
        <v>Tue</v>
      </c>
      <c r="C288" s="7">
        <f t="shared" si="25"/>
        <v>42</v>
      </c>
      <c r="H288" s="25">
        <f t="shared" si="22"/>
        <v>7.8</v>
      </c>
      <c r="I288" s="25">
        <f t="shared" si="23"/>
        <v>0</v>
      </c>
      <c r="J288" s="25">
        <f t="shared" si="27"/>
        <v>0</v>
      </c>
    </row>
    <row r="289" spans="1:12" x14ac:dyDescent="0.25">
      <c r="A289" s="3">
        <v>42656</v>
      </c>
      <c r="B289" s="12" t="str">
        <f t="shared" si="26"/>
        <v>Wed</v>
      </c>
      <c r="C289" s="7">
        <f t="shared" si="25"/>
        <v>42</v>
      </c>
      <c r="H289" s="25">
        <f t="shared" si="22"/>
        <v>7.8</v>
      </c>
      <c r="I289" s="25">
        <f t="shared" si="23"/>
        <v>0</v>
      </c>
      <c r="J289" s="25">
        <f t="shared" si="27"/>
        <v>0</v>
      </c>
      <c r="L289" s="8"/>
    </row>
    <row r="290" spans="1:12" x14ac:dyDescent="0.25">
      <c r="A290" s="3">
        <v>42657</v>
      </c>
      <c r="B290" s="12" t="str">
        <f t="shared" si="26"/>
        <v>Thu</v>
      </c>
      <c r="C290" s="7">
        <f t="shared" si="25"/>
        <v>42</v>
      </c>
      <c r="H290" s="25">
        <f t="shared" si="22"/>
        <v>7.8</v>
      </c>
      <c r="I290" s="25">
        <f t="shared" si="23"/>
        <v>0</v>
      </c>
      <c r="J290" s="25">
        <f t="shared" si="27"/>
        <v>0</v>
      </c>
    </row>
    <row r="291" spans="1:12" x14ac:dyDescent="0.25">
      <c r="A291" s="3">
        <v>42658</v>
      </c>
      <c r="B291" s="12" t="str">
        <f t="shared" si="26"/>
        <v>Fri</v>
      </c>
      <c r="C291" s="7">
        <f t="shared" si="25"/>
        <v>42</v>
      </c>
      <c r="H291" s="25">
        <f t="shared" si="22"/>
        <v>7.8</v>
      </c>
      <c r="I291" s="25">
        <f t="shared" si="23"/>
        <v>0</v>
      </c>
      <c r="J291" s="25">
        <f t="shared" si="27"/>
        <v>0</v>
      </c>
    </row>
    <row r="292" spans="1:12" x14ac:dyDescent="0.25">
      <c r="A292" s="3">
        <v>42659</v>
      </c>
      <c r="B292" s="12" t="str">
        <f t="shared" si="26"/>
        <v>Sat</v>
      </c>
      <c r="C292" s="7">
        <f t="shared" si="25"/>
        <v>42</v>
      </c>
      <c r="H292" s="25">
        <f t="shared" si="22"/>
        <v>0</v>
      </c>
      <c r="I292" s="25">
        <f t="shared" si="23"/>
        <v>0</v>
      </c>
      <c r="J292" s="25">
        <f t="shared" si="27"/>
        <v>0</v>
      </c>
    </row>
    <row r="293" spans="1:12" x14ac:dyDescent="0.25">
      <c r="A293" s="3">
        <v>42660</v>
      </c>
      <c r="B293" s="12" t="str">
        <f t="shared" si="26"/>
        <v>Sun</v>
      </c>
      <c r="C293" s="7">
        <f t="shared" si="25"/>
        <v>42</v>
      </c>
      <c r="H293" s="25">
        <f t="shared" si="22"/>
        <v>0</v>
      </c>
      <c r="I293" s="25">
        <f t="shared" si="23"/>
        <v>0</v>
      </c>
      <c r="J293" s="25">
        <f t="shared" si="27"/>
        <v>0</v>
      </c>
    </row>
    <row r="294" spans="1:12" x14ac:dyDescent="0.25">
      <c r="A294" s="3">
        <v>42661</v>
      </c>
      <c r="B294" s="12" t="str">
        <f t="shared" si="26"/>
        <v>Mon</v>
      </c>
      <c r="C294" s="7">
        <f t="shared" si="25"/>
        <v>43</v>
      </c>
      <c r="H294" s="25">
        <f t="shared" si="22"/>
        <v>7.8</v>
      </c>
      <c r="I294" s="25">
        <f t="shared" si="23"/>
        <v>0</v>
      </c>
      <c r="J294" s="25">
        <f t="shared" si="27"/>
        <v>0</v>
      </c>
    </row>
    <row r="295" spans="1:12" x14ac:dyDescent="0.25">
      <c r="A295" s="3">
        <v>42662</v>
      </c>
      <c r="B295" s="12" t="str">
        <f t="shared" si="26"/>
        <v>Tue</v>
      </c>
      <c r="C295" s="7">
        <f t="shared" si="25"/>
        <v>43</v>
      </c>
      <c r="H295" s="25">
        <f t="shared" si="22"/>
        <v>7.8</v>
      </c>
      <c r="I295" s="25">
        <f t="shared" si="23"/>
        <v>0</v>
      </c>
      <c r="J295" s="25">
        <f t="shared" si="27"/>
        <v>0</v>
      </c>
    </row>
    <row r="296" spans="1:12" x14ac:dyDescent="0.25">
      <c r="A296" s="3">
        <v>42663</v>
      </c>
      <c r="B296" s="12" t="str">
        <f t="shared" si="26"/>
        <v>Wed</v>
      </c>
      <c r="C296" s="7">
        <f t="shared" si="25"/>
        <v>43</v>
      </c>
      <c r="H296" s="25">
        <f t="shared" si="22"/>
        <v>7.8</v>
      </c>
      <c r="I296" s="25">
        <f t="shared" si="23"/>
        <v>0</v>
      </c>
      <c r="J296" s="25">
        <f t="shared" si="27"/>
        <v>0</v>
      </c>
    </row>
    <row r="297" spans="1:12" x14ac:dyDescent="0.25">
      <c r="A297" s="3">
        <v>42664</v>
      </c>
      <c r="B297" s="12" t="str">
        <f t="shared" si="26"/>
        <v>Thu</v>
      </c>
      <c r="C297" s="7">
        <f t="shared" si="25"/>
        <v>43</v>
      </c>
      <c r="H297" s="25">
        <f t="shared" si="22"/>
        <v>7.8</v>
      </c>
      <c r="I297" s="25">
        <f t="shared" si="23"/>
        <v>0</v>
      </c>
      <c r="J297" s="25">
        <f t="shared" si="27"/>
        <v>0</v>
      </c>
    </row>
    <row r="298" spans="1:12" x14ac:dyDescent="0.25">
      <c r="A298" s="3">
        <v>42665</v>
      </c>
      <c r="B298" s="12" t="str">
        <f t="shared" si="26"/>
        <v>Fri</v>
      </c>
      <c r="C298" s="7">
        <f t="shared" si="25"/>
        <v>43</v>
      </c>
      <c r="H298" s="25">
        <f t="shared" si="22"/>
        <v>7.8</v>
      </c>
      <c r="I298" s="25">
        <f t="shared" si="23"/>
        <v>0</v>
      </c>
      <c r="J298" s="25">
        <f t="shared" si="27"/>
        <v>0</v>
      </c>
    </row>
    <row r="299" spans="1:12" x14ac:dyDescent="0.25">
      <c r="A299" s="3">
        <v>42666</v>
      </c>
      <c r="B299" s="12" t="str">
        <f t="shared" si="26"/>
        <v>Sat</v>
      </c>
      <c r="C299" s="7">
        <f t="shared" si="25"/>
        <v>43</v>
      </c>
      <c r="H299" s="25">
        <f t="shared" si="22"/>
        <v>0</v>
      </c>
      <c r="I299" s="25">
        <f t="shared" si="23"/>
        <v>0</v>
      </c>
      <c r="J299" s="25">
        <f t="shared" si="27"/>
        <v>0</v>
      </c>
    </row>
    <row r="300" spans="1:12" x14ac:dyDescent="0.25">
      <c r="A300" s="3">
        <v>42667</v>
      </c>
      <c r="B300" s="12" t="str">
        <f t="shared" si="26"/>
        <v>Sun</v>
      </c>
      <c r="C300" s="7">
        <f t="shared" si="25"/>
        <v>43</v>
      </c>
      <c r="H300" s="25">
        <f t="shared" si="22"/>
        <v>0</v>
      </c>
      <c r="I300" s="25">
        <f t="shared" si="23"/>
        <v>0</v>
      </c>
      <c r="J300" s="25">
        <f t="shared" si="27"/>
        <v>0</v>
      </c>
    </row>
    <row r="301" spans="1:12" x14ac:dyDescent="0.25">
      <c r="A301" s="3">
        <v>42668</v>
      </c>
      <c r="B301" s="12" t="str">
        <f t="shared" si="26"/>
        <v>Mon</v>
      </c>
      <c r="C301" s="7">
        <f t="shared" si="25"/>
        <v>44</v>
      </c>
      <c r="H301" s="25">
        <f t="shared" si="22"/>
        <v>7.8</v>
      </c>
      <c r="I301" s="25">
        <f t="shared" si="23"/>
        <v>0</v>
      </c>
      <c r="J301" s="25">
        <f t="shared" si="27"/>
        <v>0</v>
      </c>
    </row>
    <row r="302" spans="1:12" x14ac:dyDescent="0.25">
      <c r="A302" s="3">
        <v>42669</v>
      </c>
      <c r="B302" s="12" t="str">
        <f t="shared" si="26"/>
        <v>Tue</v>
      </c>
      <c r="C302" s="7">
        <f t="shared" si="25"/>
        <v>44</v>
      </c>
      <c r="H302" s="25">
        <f t="shared" si="22"/>
        <v>7.8</v>
      </c>
      <c r="I302" s="25">
        <f t="shared" si="23"/>
        <v>0</v>
      </c>
      <c r="J302" s="25">
        <f t="shared" si="27"/>
        <v>0</v>
      </c>
    </row>
    <row r="303" spans="1:12" x14ac:dyDescent="0.25">
      <c r="A303" s="3">
        <v>42670</v>
      </c>
      <c r="B303" s="12" t="str">
        <f t="shared" si="26"/>
        <v>Wed</v>
      </c>
      <c r="C303" s="7">
        <f t="shared" si="25"/>
        <v>44</v>
      </c>
      <c r="H303" s="25">
        <f t="shared" si="22"/>
        <v>7.8</v>
      </c>
      <c r="I303" s="25">
        <f t="shared" si="23"/>
        <v>0</v>
      </c>
      <c r="J303" s="25">
        <f t="shared" si="27"/>
        <v>0</v>
      </c>
    </row>
    <row r="304" spans="1:12" x14ac:dyDescent="0.25">
      <c r="A304" s="3">
        <v>42671</v>
      </c>
      <c r="B304" s="12" t="str">
        <f t="shared" si="26"/>
        <v>Thu</v>
      </c>
      <c r="C304" s="7">
        <f t="shared" si="25"/>
        <v>44</v>
      </c>
      <c r="H304" s="25">
        <f t="shared" si="22"/>
        <v>7.8</v>
      </c>
      <c r="I304" s="25">
        <f t="shared" si="23"/>
        <v>0</v>
      </c>
      <c r="J304" s="25">
        <f t="shared" si="27"/>
        <v>0</v>
      </c>
    </row>
    <row r="305" spans="1:12" x14ac:dyDescent="0.25">
      <c r="A305" s="3">
        <v>42672</v>
      </c>
      <c r="B305" s="12" t="str">
        <f t="shared" si="26"/>
        <v>Fri</v>
      </c>
      <c r="C305" s="7">
        <f t="shared" si="25"/>
        <v>44</v>
      </c>
      <c r="H305" s="25">
        <f t="shared" si="22"/>
        <v>7.8</v>
      </c>
      <c r="I305" s="25">
        <f t="shared" si="23"/>
        <v>0</v>
      </c>
      <c r="J305" s="25">
        <f t="shared" si="27"/>
        <v>0</v>
      </c>
      <c r="L305" s="24"/>
    </row>
    <row r="306" spans="1:12" x14ac:dyDescent="0.25">
      <c r="A306" s="3">
        <v>42673</v>
      </c>
      <c r="B306" s="12" t="str">
        <f t="shared" si="26"/>
        <v>Sat</v>
      </c>
      <c r="C306" s="7">
        <f t="shared" si="25"/>
        <v>44</v>
      </c>
      <c r="H306" s="25">
        <f t="shared" si="22"/>
        <v>0</v>
      </c>
      <c r="I306" s="25">
        <f t="shared" si="23"/>
        <v>0</v>
      </c>
      <c r="J306" s="25">
        <f t="shared" si="27"/>
        <v>0</v>
      </c>
    </row>
    <row r="307" spans="1:12" x14ac:dyDescent="0.25">
      <c r="A307" s="3">
        <v>42674</v>
      </c>
      <c r="B307" s="12" t="str">
        <f t="shared" si="26"/>
        <v>Sun</v>
      </c>
      <c r="C307" s="7">
        <f t="shared" si="25"/>
        <v>44</v>
      </c>
      <c r="H307" s="25">
        <f t="shared" si="22"/>
        <v>0</v>
      </c>
      <c r="I307" s="25">
        <f t="shared" si="23"/>
        <v>0</v>
      </c>
      <c r="J307" s="25">
        <f t="shared" si="27"/>
        <v>0</v>
      </c>
    </row>
    <row r="308" spans="1:12" x14ac:dyDescent="0.25">
      <c r="A308" s="3">
        <v>42675</v>
      </c>
      <c r="B308" s="12" t="str">
        <f t="shared" si="26"/>
        <v>Mon</v>
      </c>
      <c r="C308" s="7">
        <f t="shared" si="25"/>
        <v>45</v>
      </c>
      <c r="H308" s="25">
        <f t="shared" si="22"/>
        <v>7.8</v>
      </c>
      <c r="I308" s="25">
        <f t="shared" si="23"/>
        <v>0</v>
      </c>
      <c r="J308" s="25">
        <f t="shared" si="27"/>
        <v>0</v>
      </c>
    </row>
    <row r="309" spans="1:12" x14ac:dyDescent="0.25">
      <c r="A309" s="3">
        <v>42676</v>
      </c>
      <c r="B309" s="12" t="str">
        <f t="shared" si="26"/>
        <v>Tue</v>
      </c>
      <c r="C309" s="7">
        <f t="shared" si="25"/>
        <v>45</v>
      </c>
      <c r="H309" s="25">
        <f t="shared" si="22"/>
        <v>7.8</v>
      </c>
      <c r="I309" s="25">
        <f t="shared" si="23"/>
        <v>0</v>
      </c>
      <c r="J309" s="25">
        <f t="shared" si="27"/>
        <v>0</v>
      </c>
    </row>
    <row r="310" spans="1:12" x14ac:dyDescent="0.25">
      <c r="A310" s="3">
        <v>42677</v>
      </c>
      <c r="B310" s="12" t="str">
        <f t="shared" si="26"/>
        <v>Wed</v>
      </c>
      <c r="C310" s="7">
        <f t="shared" si="25"/>
        <v>45</v>
      </c>
      <c r="H310" s="25">
        <f t="shared" si="22"/>
        <v>7.8</v>
      </c>
      <c r="I310" s="25">
        <f t="shared" si="23"/>
        <v>0</v>
      </c>
      <c r="J310" s="25">
        <f t="shared" si="27"/>
        <v>0</v>
      </c>
    </row>
    <row r="311" spans="1:12" x14ac:dyDescent="0.25">
      <c r="A311" s="3">
        <v>42678</v>
      </c>
      <c r="B311" s="12" t="str">
        <f t="shared" si="26"/>
        <v>Thu</v>
      </c>
      <c r="C311" s="7">
        <f t="shared" si="25"/>
        <v>45</v>
      </c>
      <c r="D311" s="10"/>
      <c r="H311" s="25">
        <f t="shared" si="22"/>
        <v>7.8</v>
      </c>
      <c r="I311" s="25">
        <f t="shared" si="23"/>
        <v>0</v>
      </c>
      <c r="J311" s="25">
        <f t="shared" si="27"/>
        <v>0</v>
      </c>
    </row>
    <row r="312" spans="1:12" x14ac:dyDescent="0.25">
      <c r="A312" s="3">
        <v>42679</v>
      </c>
      <c r="B312" s="12" t="str">
        <f t="shared" si="26"/>
        <v>Fri</v>
      </c>
      <c r="C312" s="7">
        <f t="shared" si="25"/>
        <v>45</v>
      </c>
      <c r="H312" s="25">
        <f t="shared" si="22"/>
        <v>7.8</v>
      </c>
      <c r="I312" s="25">
        <f t="shared" si="23"/>
        <v>0</v>
      </c>
      <c r="J312" s="25">
        <f t="shared" si="27"/>
        <v>0</v>
      </c>
    </row>
    <row r="313" spans="1:12" x14ac:dyDescent="0.25">
      <c r="A313" s="3">
        <v>42680</v>
      </c>
      <c r="B313" s="12" t="str">
        <f t="shared" si="26"/>
        <v>Sat</v>
      </c>
      <c r="C313" s="7">
        <f t="shared" si="25"/>
        <v>45</v>
      </c>
      <c r="H313" s="25">
        <f t="shared" si="22"/>
        <v>0</v>
      </c>
      <c r="I313" s="25">
        <f t="shared" si="23"/>
        <v>0</v>
      </c>
      <c r="J313" s="25">
        <f t="shared" si="27"/>
        <v>0</v>
      </c>
    </row>
    <row r="314" spans="1:12" x14ac:dyDescent="0.25">
      <c r="A314" s="3">
        <v>42681</v>
      </c>
      <c r="B314" s="12" t="str">
        <f t="shared" si="26"/>
        <v>Sun</v>
      </c>
      <c r="C314" s="7">
        <f t="shared" si="25"/>
        <v>45</v>
      </c>
      <c r="H314" s="25">
        <f t="shared" si="22"/>
        <v>0</v>
      </c>
      <c r="I314" s="25">
        <f t="shared" si="23"/>
        <v>0</v>
      </c>
      <c r="J314" s="25">
        <f t="shared" si="27"/>
        <v>0</v>
      </c>
    </row>
    <row r="315" spans="1:12" x14ac:dyDescent="0.25">
      <c r="A315" s="3">
        <v>42682</v>
      </c>
      <c r="B315" s="12" t="str">
        <f t="shared" si="26"/>
        <v>Mon</v>
      </c>
      <c r="C315" s="7">
        <f t="shared" si="25"/>
        <v>46</v>
      </c>
      <c r="H315" s="25">
        <f t="shared" si="22"/>
        <v>7.8</v>
      </c>
      <c r="I315" s="25">
        <f t="shared" si="23"/>
        <v>0</v>
      </c>
      <c r="J315" s="25">
        <f t="shared" si="27"/>
        <v>0</v>
      </c>
    </row>
    <row r="316" spans="1:12" x14ac:dyDescent="0.25">
      <c r="A316" s="3">
        <v>42683</v>
      </c>
      <c r="B316" s="12" t="str">
        <f t="shared" si="26"/>
        <v>Tue</v>
      </c>
      <c r="C316" s="7">
        <f t="shared" si="25"/>
        <v>46</v>
      </c>
      <c r="H316" s="25">
        <f t="shared" si="22"/>
        <v>7.8</v>
      </c>
      <c r="I316" s="25">
        <f t="shared" si="23"/>
        <v>0</v>
      </c>
      <c r="J316" s="25">
        <f t="shared" si="27"/>
        <v>0</v>
      </c>
    </row>
    <row r="317" spans="1:12" x14ac:dyDescent="0.25">
      <c r="A317" s="3">
        <v>42684</v>
      </c>
      <c r="B317" s="12" t="str">
        <f t="shared" si="26"/>
        <v>Wed</v>
      </c>
      <c r="C317" s="7">
        <f t="shared" si="25"/>
        <v>46</v>
      </c>
      <c r="H317" s="25">
        <f t="shared" si="22"/>
        <v>7.8</v>
      </c>
      <c r="I317" s="25">
        <f t="shared" si="23"/>
        <v>0</v>
      </c>
      <c r="J317" s="25">
        <f t="shared" si="27"/>
        <v>0</v>
      </c>
    </row>
    <row r="318" spans="1:12" x14ac:dyDescent="0.25">
      <c r="A318" s="3">
        <v>42685</v>
      </c>
      <c r="B318" s="12" t="str">
        <f t="shared" si="26"/>
        <v>Thu</v>
      </c>
      <c r="C318" s="7">
        <f t="shared" si="25"/>
        <v>46</v>
      </c>
      <c r="H318" s="25">
        <f t="shared" si="22"/>
        <v>7.8</v>
      </c>
      <c r="I318" s="25">
        <f t="shared" si="23"/>
        <v>0</v>
      </c>
      <c r="J318" s="25">
        <f t="shared" si="27"/>
        <v>0</v>
      </c>
    </row>
    <row r="319" spans="1:12" x14ac:dyDescent="0.25">
      <c r="A319" s="3">
        <v>42686</v>
      </c>
      <c r="B319" s="12" t="str">
        <f t="shared" si="26"/>
        <v>Fri</v>
      </c>
      <c r="C319" s="7">
        <f t="shared" si="25"/>
        <v>46</v>
      </c>
      <c r="H319" s="25">
        <f t="shared" si="22"/>
        <v>7.8</v>
      </c>
      <c r="I319" s="25">
        <f t="shared" si="23"/>
        <v>0</v>
      </c>
      <c r="J319" s="25">
        <f t="shared" si="27"/>
        <v>0</v>
      </c>
    </row>
    <row r="320" spans="1:12" x14ac:dyDescent="0.25">
      <c r="A320" s="3">
        <v>42687</v>
      </c>
      <c r="B320" s="12" t="str">
        <f t="shared" si="26"/>
        <v>Sat</v>
      </c>
      <c r="C320" s="7">
        <f t="shared" si="25"/>
        <v>46</v>
      </c>
      <c r="H320" s="25">
        <f t="shared" si="22"/>
        <v>0</v>
      </c>
      <c r="I320" s="25">
        <f t="shared" si="23"/>
        <v>0</v>
      </c>
      <c r="J320" s="25">
        <f t="shared" si="27"/>
        <v>0</v>
      </c>
    </row>
    <row r="321" spans="1:10" x14ac:dyDescent="0.25">
      <c r="A321" s="3">
        <v>42688</v>
      </c>
      <c r="B321" s="12" t="str">
        <f t="shared" si="26"/>
        <v>Sun</v>
      </c>
      <c r="C321" s="7">
        <f t="shared" si="25"/>
        <v>46</v>
      </c>
      <c r="H321" s="25">
        <f t="shared" si="22"/>
        <v>0</v>
      </c>
      <c r="I321" s="25">
        <f t="shared" si="23"/>
        <v>0</v>
      </c>
      <c r="J321" s="25">
        <f t="shared" si="27"/>
        <v>0</v>
      </c>
    </row>
    <row r="322" spans="1:10" x14ac:dyDescent="0.25">
      <c r="A322" s="3">
        <v>42689</v>
      </c>
      <c r="B322" s="12" t="str">
        <f t="shared" si="26"/>
        <v>Mon</v>
      </c>
      <c r="C322" s="7">
        <f t="shared" si="25"/>
        <v>47</v>
      </c>
      <c r="H322" s="25">
        <f t="shared" ref="H322:H367" si="28">IF(AND(WEEKDAY($A322,2)&lt;=5,COUNTIF(timeaway_types, $D322)=0),7.8,0)</f>
        <v>7.8</v>
      </c>
      <c r="I322" s="25">
        <f t="shared" ref="I322:I367" si="29">IF(COUNTIF(nonprod_types, $D322)&gt;0,0, (($F322-$E322)-$G322)*24)</f>
        <v>0</v>
      </c>
      <c r="J322" s="25">
        <f t="shared" si="27"/>
        <v>0</v>
      </c>
    </row>
    <row r="323" spans="1:10" x14ac:dyDescent="0.25">
      <c r="A323" s="3">
        <v>42690</v>
      </c>
      <c r="B323" s="12" t="str">
        <f t="shared" si="26"/>
        <v>Tue</v>
      </c>
      <c r="C323" s="7">
        <f t="shared" si="25"/>
        <v>47</v>
      </c>
      <c r="H323" s="25">
        <f t="shared" si="28"/>
        <v>7.8</v>
      </c>
      <c r="I323" s="25">
        <f t="shared" si="29"/>
        <v>0</v>
      </c>
      <c r="J323" s="25">
        <f t="shared" si="27"/>
        <v>0</v>
      </c>
    </row>
    <row r="324" spans="1:10" x14ac:dyDescent="0.25">
      <c r="A324" s="3">
        <v>42691</v>
      </c>
      <c r="B324" s="12" t="str">
        <f t="shared" si="26"/>
        <v>Wed</v>
      </c>
      <c r="C324" s="7">
        <f t="shared" si="25"/>
        <v>47</v>
      </c>
      <c r="H324" s="25">
        <f t="shared" si="28"/>
        <v>7.8</v>
      </c>
      <c r="I324" s="25">
        <f t="shared" si="29"/>
        <v>0</v>
      </c>
      <c r="J324" s="25">
        <f t="shared" si="27"/>
        <v>0</v>
      </c>
    </row>
    <row r="325" spans="1:10" x14ac:dyDescent="0.25">
      <c r="A325" s="3">
        <v>42692</v>
      </c>
      <c r="B325" s="12" t="str">
        <f t="shared" si="26"/>
        <v>Thu</v>
      </c>
      <c r="C325" s="7">
        <f t="shared" si="25"/>
        <v>47</v>
      </c>
      <c r="D325" s="10"/>
      <c r="H325" s="25">
        <f t="shared" si="28"/>
        <v>7.8</v>
      </c>
      <c r="I325" s="25">
        <f t="shared" si="29"/>
        <v>0</v>
      </c>
      <c r="J325" s="25">
        <f t="shared" si="27"/>
        <v>0</v>
      </c>
    </row>
    <row r="326" spans="1:10" x14ac:dyDescent="0.25">
      <c r="A326" s="3">
        <v>42693</v>
      </c>
      <c r="B326" s="12" t="str">
        <f t="shared" si="26"/>
        <v>Fri</v>
      </c>
      <c r="C326" s="7">
        <f t="shared" si="25"/>
        <v>47</v>
      </c>
      <c r="H326" s="25">
        <f t="shared" si="28"/>
        <v>7.8</v>
      </c>
      <c r="I326" s="25">
        <f t="shared" si="29"/>
        <v>0</v>
      </c>
      <c r="J326" s="25">
        <f t="shared" si="27"/>
        <v>0</v>
      </c>
    </row>
    <row r="327" spans="1:10" x14ac:dyDescent="0.25">
      <c r="A327" s="3">
        <v>42694</v>
      </c>
      <c r="B327" s="12" t="str">
        <f t="shared" si="26"/>
        <v>Sat</v>
      </c>
      <c r="C327" s="7">
        <f t="shared" si="25"/>
        <v>47</v>
      </c>
      <c r="H327" s="25">
        <f t="shared" si="28"/>
        <v>0</v>
      </c>
      <c r="I327" s="25">
        <f t="shared" si="29"/>
        <v>0</v>
      </c>
      <c r="J327" s="25">
        <f t="shared" si="27"/>
        <v>0</v>
      </c>
    </row>
    <row r="328" spans="1:10" x14ac:dyDescent="0.25">
      <c r="A328" s="3">
        <v>42695</v>
      </c>
      <c r="B328" s="12" t="str">
        <f t="shared" si="26"/>
        <v>Sun</v>
      </c>
      <c r="C328" s="7">
        <f t="shared" si="25"/>
        <v>47</v>
      </c>
      <c r="H328" s="25">
        <f t="shared" si="28"/>
        <v>0</v>
      </c>
      <c r="I328" s="25">
        <f t="shared" si="29"/>
        <v>0</v>
      </c>
      <c r="J328" s="25">
        <f t="shared" si="27"/>
        <v>0</v>
      </c>
    </row>
    <row r="329" spans="1:10" x14ac:dyDescent="0.25">
      <c r="A329" s="3">
        <v>42696</v>
      </c>
      <c r="B329" s="12" t="str">
        <f t="shared" si="26"/>
        <v>Mon</v>
      </c>
      <c r="C329" s="7">
        <f t="shared" si="25"/>
        <v>48</v>
      </c>
      <c r="H329" s="25">
        <f t="shared" si="28"/>
        <v>7.8</v>
      </c>
      <c r="I329" s="25">
        <f t="shared" si="29"/>
        <v>0</v>
      </c>
      <c r="J329" s="25">
        <f t="shared" si="27"/>
        <v>0</v>
      </c>
    </row>
    <row r="330" spans="1:10" x14ac:dyDescent="0.25">
      <c r="A330" s="3">
        <v>42697</v>
      </c>
      <c r="B330" s="12" t="str">
        <f t="shared" si="26"/>
        <v>Tue</v>
      </c>
      <c r="C330" s="7">
        <f t="shared" si="25"/>
        <v>48</v>
      </c>
      <c r="H330" s="25">
        <f t="shared" si="28"/>
        <v>7.8</v>
      </c>
      <c r="I330" s="25">
        <f t="shared" si="29"/>
        <v>0</v>
      </c>
      <c r="J330" s="25">
        <f t="shared" si="27"/>
        <v>0</v>
      </c>
    </row>
    <row r="331" spans="1:10" x14ac:dyDescent="0.25">
      <c r="A331" s="3">
        <v>42698</v>
      </c>
      <c r="B331" s="12" t="str">
        <f t="shared" si="26"/>
        <v>Wed</v>
      </c>
      <c r="C331" s="7">
        <f t="shared" si="25"/>
        <v>48</v>
      </c>
      <c r="H331" s="25">
        <f t="shared" si="28"/>
        <v>7.8</v>
      </c>
      <c r="I331" s="25">
        <f t="shared" si="29"/>
        <v>0</v>
      </c>
      <c r="J331" s="25">
        <f t="shared" si="27"/>
        <v>0</v>
      </c>
    </row>
    <row r="332" spans="1:10" x14ac:dyDescent="0.25">
      <c r="A332" s="3">
        <v>42699</v>
      </c>
      <c r="B332" s="12" t="str">
        <f t="shared" si="26"/>
        <v>Thu</v>
      </c>
      <c r="C332" s="7">
        <f t="shared" si="25"/>
        <v>48</v>
      </c>
      <c r="H332" s="25">
        <f t="shared" si="28"/>
        <v>7.8</v>
      </c>
      <c r="I332" s="25">
        <f t="shared" si="29"/>
        <v>0</v>
      </c>
      <c r="J332" s="25">
        <f t="shared" si="27"/>
        <v>0</v>
      </c>
    </row>
    <row r="333" spans="1:10" x14ac:dyDescent="0.25">
      <c r="A333" s="3">
        <v>42700</v>
      </c>
      <c r="B333" s="12" t="str">
        <f t="shared" ref="B333:B367" si="30">CHOOSE(WEEKDAY($A333,2),"Mon","Tue","Wed","Thu","Fri","Sat","Sun")</f>
        <v>Fri</v>
      </c>
      <c r="C333" s="7">
        <f t="shared" ref="C333:C367" si="31">_xlfn.ISOWEEKNUM($A333)</f>
        <v>48</v>
      </c>
      <c r="H333" s="25">
        <f t="shared" si="28"/>
        <v>7.8</v>
      </c>
      <c r="I333" s="25">
        <f t="shared" si="29"/>
        <v>0</v>
      </c>
      <c r="J333" s="25">
        <f t="shared" si="27"/>
        <v>0</v>
      </c>
    </row>
    <row r="334" spans="1:10" x14ac:dyDescent="0.25">
      <c r="A334" s="3">
        <v>42701</v>
      </c>
      <c r="B334" s="12" t="str">
        <f t="shared" si="30"/>
        <v>Sat</v>
      </c>
      <c r="C334" s="7">
        <f t="shared" si="31"/>
        <v>48</v>
      </c>
      <c r="D334" s="10"/>
      <c r="H334" s="25">
        <f t="shared" si="28"/>
        <v>0</v>
      </c>
      <c r="I334" s="25">
        <f t="shared" si="29"/>
        <v>0</v>
      </c>
      <c r="J334" s="25">
        <f t="shared" si="27"/>
        <v>0</v>
      </c>
    </row>
    <row r="335" spans="1:10" x14ac:dyDescent="0.25">
      <c r="A335" s="3">
        <v>42702</v>
      </c>
      <c r="B335" s="12" t="str">
        <f t="shared" si="30"/>
        <v>Sun</v>
      </c>
      <c r="C335" s="7">
        <f t="shared" si="31"/>
        <v>48</v>
      </c>
      <c r="H335" s="25">
        <f t="shared" si="28"/>
        <v>0</v>
      </c>
      <c r="I335" s="25">
        <f t="shared" si="29"/>
        <v>0</v>
      </c>
      <c r="J335" s="25">
        <f t="shared" si="27"/>
        <v>0</v>
      </c>
    </row>
    <row r="336" spans="1:10" x14ac:dyDescent="0.25">
      <c r="A336" s="3">
        <v>42703</v>
      </c>
      <c r="B336" s="12" t="str">
        <f t="shared" si="30"/>
        <v>Mon</v>
      </c>
      <c r="C336" s="7">
        <f t="shared" si="31"/>
        <v>49</v>
      </c>
      <c r="H336" s="25">
        <f t="shared" si="28"/>
        <v>7.8</v>
      </c>
      <c r="I336" s="25">
        <f t="shared" si="29"/>
        <v>0</v>
      </c>
      <c r="J336" s="25">
        <f t="shared" si="27"/>
        <v>0</v>
      </c>
    </row>
    <row r="337" spans="1:10" x14ac:dyDescent="0.25">
      <c r="A337" s="3">
        <v>42704</v>
      </c>
      <c r="B337" s="12" t="str">
        <f t="shared" si="30"/>
        <v>Tue</v>
      </c>
      <c r="C337" s="7">
        <f t="shared" si="31"/>
        <v>49</v>
      </c>
      <c r="H337" s="25">
        <f t="shared" si="28"/>
        <v>7.8</v>
      </c>
      <c r="I337" s="25">
        <f t="shared" si="29"/>
        <v>0</v>
      </c>
      <c r="J337" s="25">
        <f t="shared" si="27"/>
        <v>0</v>
      </c>
    </row>
    <row r="338" spans="1:10" x14ac:dyDescent="0.25">
      <c r="A338" s="3">
        <v>42705</v>
      </c>
      <c r="B338" s="12" t="str">
        <f t="shared" si="30"/>
        <v>Wed</v>
      </c>
      <c r="C338" s="7">
        <f t="shared" si="31"/>
        <v>49</v>
      </c>
      <c r="H338" s="25">
        <f t="shared" si="28"/>
        <v>7.8</v>
      </c>
      <c r="I338" s="25">
        <f t="shared" si="29"/>
        <v>0</v>
      </c>
      <c r="J338" s="25">
        <f t="shared" si="27"/>
        <v>0</v>
      </c>
    </row>
    <row r="339" spans="1:10" x14ac:dyDescent="0.25">
      <c r="A339" s="3">
        <v>42706</v>
      </c>
      <c r="B339" s="12" t="str">
        <f t="shared" si="30"/>
        <v>Thu</v>
      </c>
      <c r="C339" s="7">
        <f t="shared" si="31"/>
        <v>49</v>
      </c>
      <c r="H339" s="25">
        <f t="shared" si="28"/>
        <v>7.8</v>
      </c>
      <c r="I339" s="25">
        <f t="shared" si="29"/>
        <v>0</v>
      </c>
      <c r="J339" s="25">
        <f t="shared" si="27"/>
        <v>0</v>
      </c>
    </row>
    <row r="340" spans="1:10" x14ac:dyDescent="0.25">
      <c r="A340" s="3">
        <v>42707</v>
      </c>
      <c r="B340" s="12" t="str">
        <f t="shared" si="30"/>
        <v>Fri</v>
      </c>
      <c r="C340" s="7">
        <f t="shared" si="31"/>
        <v>49</v>
      </c>
      <c r="H340" s="25">
        <f t="shared" si="28"/>
        <v>7.8</v>
      </c>
      <c r="I340" s="25">
        <f t="shared" si="29"/>
        <v>0</v>
      </c>
      <c r="J340" s="25">
        <f t="shared" ref="J340:J366" si="32">IF(D340="",0,$I340-$H340)</f>
        <v>0</v>
      </c>
    </row>
    <row r="341" spans="1:10" x14ac:dyDescent="0.25">
      <c r="A341" s="3">
        <v>42708</v>
      </c>
      <c r="B341" s="12" t="str">
        <f t="shared" si="30"/>
        <v>Sat</v>
      </c>
      <c r="C341" s="7">
        <f t="shared" si="31"/>
        <v>49</v>
      </c>
      <c r="H341" s="25">
        <f t="shared" si="28"/>
        <v>0</v>
      </c>
      <c r="I341" s="25">
        <f t="shared" si="29"/>
        <v>0</v>
      </c>
      <c r="J341" s="25">
        <f t="shared" si="32"/>
        <v>0</v>
      </c>
    </row>
    <row r="342" spans="1:10" x14ac:dyDescent="0.25">
      <c r="A342" s="3">
        <v>42709</v>
      </c>
      <c r="B342" s="12" t="str">
        <f t="shared" si="30"/>
        <v>Sun</v>
      </c>
      <c r="C342" s="7">
        <f t="shared" si="31"/>
        <v>49</v>
      </c>
      <c r="H342" s="25">
        <f t="shared" si="28"/>
        <v>0</v>
      </c>
      <c r="I342" s="25">
        <f t="shared" si="29"/>
        <v>0</v>
      </c>
      <c r="J342" s="25">
        <f t="shared" si="32"/>
        <v>0</v>
      </c>
    </row>
    <row r="343" spans="1:10" x14ac:dyDescent="0.25">
      <c r="A343" s="3">
        <v>42710</v>
      </c>
      <c r="B343" s="12" t="str">
        <f t="shared" si="30"/>
        <v>Mon</v>
      </c>
      <c r="C343" s="7">
        <f t="shared" si="31"/>
        <v>50</v>
      </c>
      <c r="H343" s="25">
        <f t="shared" si="28"/>
        <v>7.8</v>
      </c>
      <c r="I343" s="25">
        <f t="shared" si="29"/>
        <v>0</v>
      </c>
      <c r="J343" s="25">
        <f t="shared" si="32"/>
        <v>0</v>
      </c>
    </row>
    <row r="344" spans="1:10" x14ac:dyDescent="0.25">
      <c r="A344" s="3">
        <v>42711</v>
      </c>
      <c r="B344" s="12" t="str">
        <f t="shared" si="30"/>
        <v>Tue</v>
      </c>
      <c r="C344" s="7">
        <f t="shared" si="31"/>
        <v>50</v>
      </c>
      <c r="H344" s="25">
        <f t="shared" si="28"/>
        <v>7.8</v>
      </c>
      <c r="I344" s="25">
        <f t="shared" si="29"/>
        <v>0</v>
      </c>
      <c r="J344" s="25">
        <f t="shared" si="32"/>
        <v>0</v>
      </c>
    </row>
    <row r="345" spans="1:10" x14ac:dyDescent="0.25">
      <c r="A345" s="3">
        <v>42712</v>
      </c>
      <c r="B345" s="12" t="str">
        <f t="shared" si="30"/>
        <v>Wed</v>
      </c>
      <c r="C345" s="7">
        <f t="shared" si="31"/>
        <v>50</v>
      </c>
      <c r="H345" s="25">
        <f t="shared" si="28"/>
        <v>7.8</v>
      </c>
      <c r="I345" s="25">
        <f t="shared" si="29"/>
        <v>0</v>
      </c>
      <c r="J345" s="25">
        <f t="shared" si="32"/>
        <v>0</v>
      </c>
    </row>
    <row r="346" spans="1:10" x14ac:dyDescent="0.25">
      <c r="A346" s="3">
        <v>42713</v>
      </c>
      <c r="B346" s="12" t="str">
        <f t="shared" si="30"/>
        <v>Thu</v>
      </c>
      <c r="C346" s="7">
        <f t="shared" si="31"/>
        <v>50</v>
      </c>
      <c r="H346" s="25">
        <f t="shared" si="28"/>
        <v>7.8</v>
      </c>
      <c r="I346" s="25">
        <f t="shared" si="29"/>
        <v>0</v>
      </c>
      <c r="J346" s="25">
        <f t="shared" si="32"/>
        <v>0</v>
      </c>
    </row>
    <row r="347" spans="1:10" x14ac:dyDescent="0.25">
      <c r="A347" s="3">
        <v>42714</v>
      </c>
      <c r="B347" s="12" t="str">
        <f t="shared" si="30"/>
        <v>Fri</v>
      </c>
      <c r="C347" s="7">
        <f t="shared" si="31"/>
        <v>50</v>
      </c>
      <c r="H347" s="25">
        <f t="shared" si="28"/>
        <v>7.8</v>
      </c>
      <c r="I347" s="25">
        <f t="shared" si="29"/>
        <v>0</v>
      </c>
      <c r="J347" s="25">
        <f t="shared" si="32"/>
        <v>0</v>
      </c>
    </row>
    <row r="348" spans="1:10" x14ac:dyDescent="0.25">
      <c r="A348" s="3">
        <v>42715</v>
      </c>
      <c r="B348" s="12" t="str">
        <f t="shared" si="30"/>
        <v>Sat</v>
      </c>
      <c r="C348" s="7">
        <f t="shared" si="31"/>
        <v>50</v>
      </c>
      <c r="H348" s="25">
        <f t="shared" si="28"/>
        <v>0</v>
      </c>
      <c r="I348" s="25">
        <f t="shared" si="29"/>
        <v>0</v>
      </c>
      <c r="J348" s="25">
        <f t="shared" si="32"/>
        <v>0</v>
      </c>
    </row>
    <row r="349" spans="1:10" x14ac:dyDescent="0.25">
      <c r="A349" s="3">
        <v>42716</v>
      </c>
      <c r="B349" s="12" t="str">
        <f t="shared" si="30"/>
        <v>Sun</v>
      </c>
      <c r="C349" s="7">
        <f t="shared" si="31"/>
        <v>50</v>
      </c>
      <c r="H349" s="25">
        <f t="shared" si="28"/>
        <v>0</v>
      </c>
      <c r="I349" s="25">
        <f t="shared" si="29"/>
        <v>0</v>
      </c>
      <c r="J349" s="25">
        <f t="shared" si="32"/>
        <v>0</v>
      </c>
    </row>
    <row r="350" spans="1:10" x14ac:dyDescent="0.25">
      <c r="A350" s="3">
        <v>42717</v>
      </c>
      <c r="B350" s="12" t="str">
        <f t="shared" si="30"/>
        <v>Mon</v>
      </c>
      <c r="C350" s="7">
        <f t="shared" si="31"/>
        <v>51</v>
      </c>
      <c r="H350" s="25">
        <f t="shared" si="28"/>
        <v>7.8</v>
      </c>
      <c r="I350" s="25">
        <f t="shared" si="29"/>
        <v>0</v>
      </c>
      <c r="J350" s="25">
        <f t="shared" si="32"/>
        <v>0</v>
      </c>
    </row>
    <row r="351" spans="1:10" x14ac:dyDescent="0.25">
      <c r="A351" s="3">
        <v>42718</v>
      </c>
      <c r="B351" s="12" t="str">
        <f t="shared" si="30"/>
        <v>Tue</v>
      </c>
      <c r="C351" s="7">
        <f t="shared" si="31"/>
        <v>51</v>
      </c>
      <c r="H351" s="25">
        <f t="shared" si="28"/>
        <v>7.8</v>
      </c>
      <c r="I351" s="25">
        <f t="shared" si="29"/>
        <v>0</v>
      </c>
      <c r="J351" s="25">
        <f t="shared" si="32"/>
        <v>0</v>
      </c>
    </row>
    <row r="352" spans="1:10" x14ac:dyDescent="0.25">
      <c r="A352" s="3">
        <v>42719</v>
      </c>
      <c r="B352" s="12" t="str">
        <f t="shared" si="30"/>
        <v>Wed</v>
      </c>
      <c r="C352" s="7">
        <f t="shared" si="31"/>
        <v>51</v>
      </c>
      <c r="H352" s="25">
        <f t="shared" si="28"/>
        <v>7.8</v>
      </c>
      <c r="I352" s="25">
        <f t="shared" si="29"/>
        <v>0</v>
      </c>
      <c r="J352" s="25">
        <f t="shared" si="32"/>
        <v>0</v>
      </c>
    </row>
    <row r="353" spans="1:10" x14ac:dyDescent="0.25">
      <c r="A353" s="3">
        <v>42720</v>
      </c>
      <c r="B353" s="12" t="str">
        <f t="shared" si="30"/>
        <v>Thu</v>
      </c>
      <c r="C353" s="7">
        <f t="shared" si="31"/>
        <v>51</v>
      </c>
      <c r="H353" s="25">
        <f t="shared" si="28"/>
        <v>7.8</v>
      </c>
      <c r="I353" s="25">
        <f t="shared" si="29"/>
        <v>0</v>
      </c>
      <c r="J353" s="25">
        <f t="shared" si="32"/>
        <v>0</v>
      </c>
    </row>
    <row r="354" spans="1:10" x14ac:dyDescent="0.25">
      <c r="A354" s="3">
        <v>42721</v>
      </c>
      <c r="B354" s="12" t="str">
        <f t="shared" si="30"/>
        <v>Fri</v>
      </c>
      <c r="C354" s="7">
        <f t="shared" si="31"/>
        <v>51</v>
      </c>
      <c r="H354" s="25">
        <f t="shared" si="28"/>
        <v>7.8</v>
      </c>
      <c r="I354" s="25">
        <f t="shared" si="29"/>
        <v>0</v>
      </c>
      <c r="J354" s="25">
        <f t="shared" si="32"/>
        <v>0</v>
      </c>
    </row>
    <row r="355" spans="1:10" x14ac:dyDescent="0.25">
      <c r="A355" s="3">
        <v>42722</v>
      </c>
      <c r="B355" s="12" t="str">
        <f t="shared" si="30"/>
        <v>Sat</v>
      </c>
      <c r="C355" s="7">
        <f t="shared" si="31"/>
        <v>51</v>
      </c>
      <c r="H355" s="25">
        <f t="shared" si="28"/>
        <v>0</v>
      </c>
      <c r="I355" s="25">
        <f t="shared" si="29"/>
        <v>0</v>
      </c>
      <c r="J355" s="25">
        <f t="shared" si="32"/>
        <v>0</v>
      </c>
    </row>
    <row r="356" spans="1:10" x14ac:dyDescent="0.25">
      <c r="A356" s="3">
        <v>42723</v>
      </c>
      <c r="B356" s="12" t="str">
        <f t="shared" si="30"/>
        <v>Sun</v>
      </c>
      <c r="C356" s="7">
        <f t="shared" si="31"/>
        <v>51</v>
      </c>
      <c r="H356" s="25">
        <f t="shared" si="28"/>
        <v>0</v>
      </c>
      <c r="I356" s="25">
        <f t="shared" si="29"/>
        <v>0</v>
      </c>
      <c r="J356" s="25">
        <f t="shared" si="32"/>
        <v>0</v>
      </c>
    </row>
    <row r="357" spans="1:10" x14ac:dyDescent="0.25">
      <c r="A357" s="3">
        <v>42724</v>
      </c>
      <c r="B357" s="12" t="str">
        <f t="shared" si="30"/>
        <v>Mon</v>
      </c>
      <c r="C357" s="7">
        <f t="shared" si="31"/>
        <v>52</v>
      </c>
      <c r="H357" s="25">
        <f t="shared" si="28"/>
        <v>7.8</v>
      </c>
      <c r="I357" s="25">
        <f t="shared" si="29"/>
        <v>0</v>
      </c>
      <c r="J357" s="25">
        <f t="shared" si="32"/>
        <v>0</v>
      </c>
    </row>
    <row r="358" spans="1:10" x14ac:dyDescent="0.25">
      <c r="A358" s="3">
        <v>42725</v>
      </c>
      <c r="B358" s="12" t="str">
        <f t="shared" si="30"/>
        <v>Tue</v>
      </c>
      <c r="C358" s="7">
        <f t="shared" si="31"/>
        <v>52</v>
      </c>
      <c r="H358" s="25">
        <f t="shared" si="28"/>
        <v>7.8</v>
      </c>
      <c r="I358" s="25">
        <f t="shared" si="29"/>
        <v>0</v>
      </c>
      <c r="J358" s="25">
        <f t="shared" si="32"/>
        <v>0</v>
      </c>
    </row>
    <row r="359" spans="1:10" x14ac:dyDescent="0.25">
      <c r="A359" s="3">
        <v>42726</v>
      </c>
      <c r="B359" s="12" t="str">
        <f t="shared" si="30"/>
        <v>Wed</v>
      </c>
      <c r="C359" s="7">
        <f t="shared" si="31"/>
        <v>52</v>
      </c>
      <c r="H359" s="25">
        <f t="shared" si="28"/>
        <v>7.8</v>
      </c>
      <c r="I359" s="25">
        <f t="shared" si="29"/>
        <v>0</v>
      </c>
      <c r="J359" s="25">
        <f t="shared" si="32"/>
        <v>0</v>
      </c>
    </row>
    <row r="360" spans="1:10" x14ac:dyDescent="0.25">
      <c r="A360" s="3">
        <v>42727</v>
      </c>
      <c r="B360" s="12" t="str">
        <f t="shared" si="30"/>
        <v>Thu</v>
      </c>
      <c r="C360" s="7">
        <f t="shared" si="31"/>
        <v>52</v>
      </c>
      <c r="H360" s="25">
        <f t="shared" si="28"/>
        <v>7.8</v>
      </c>
      <c r="I360" s="25">
        <f t="shared" si="29"/>
        <v>0</v>
      </c>
      <c r="J360" s="25">
        <f t="shared" si="32"/>
        <v>0</v>
      </c>
    </row>
    <row r="361" spans="1:10" x14ac:dyDescent="0.25">
      <c r="A361" s="3">
        <v>42728</v>
      </c>
      <c r="B361" s="12" t="str">
        <f t="shared" si="30"/>
        <v>Fri</v>
      </c>
      <c r="C361" s="7">
        <f t="shared" si="31"/>
        <v>52</v>
      </c>
      <c r="H361" s="25">
        <f t="shared" si="28"/>
        <v>7.8</v>
      </c>
      <c r="I361" s="25">
        <f t="shared" si="29"/>
        <v>0</v>
      </c>
      <c r="J361" s="25">
        <f t="shared" si="32"/>
        <v>0</v>
      </c>
    </row>
    <row r="362" spans="1:10" x14ac:dyDescent="0.25">
      <c r="A362" s="3">
        <v>42729</v>
      </c>
      <c r="B362" s="12" t="str">
        <f t="shared" si="30"/>
        <v>Sat</v>
      </c>
      <c r="C362" s="7">
        <f t="shared" si="31"/>
        <v>52</v>
      </c>
      <c r="H362" s="25">
        <f t="shared" si="28"/>
        <v>0</v>
      </c>
      <c r="I362" s="25">
        <f t="shared" si="29"/>
        <v>0</v>
      </c>
      <c r="J362" s="25">
        <f t="shared" si="32"/>
        <v>0</v>
      </c>
    </row>
    <row r="363" spans="1:10" x14ac:dyDescent="0.25">
      <c r="A363" s="3">
        <v>42730</v>
      </c>
      <c r="B363" s="12" t="str">
        <f t="shared" si="30"/>
        <v>Sun</v>
      </c>
      <c r="C363" s="7">
        <f t="shared" si="31"/>
        <v>52</v>
      </c>
      <c r="H363" s="25">
        <f t="shared" si="28"/>
        <v>0</v>
      </c>
      <c r="I363" s="25">
        <f t="shared" si="29"/>
        <v>0</v>
      </c>
      <c r="J363" s="25">
        <f t="shared" si="32"/>
        <v>0</v>
      </c>
    </row>
    <row r="364" spans="1:10" x14ac:dyDescent="0.25">
      <c r="A364" s="3">
        <v>42731</v>
      </c>
      <c r="B364" s="12" t="str">
        <f t="shared" si="30"/>
        <v>Mon</v>
      </c>
      <c r="C364" s="7">
        <f t="shared" si="31"/>
        <v>53</v>
      </c>
      <c r="H364" s="25">
        <f t="shared" si="28"/>
        <v>7.8</v>
      </c>
      <c r="I364" s="25">
        <f t="shared" si="29"/>
        <v>0</v>
      </c>
      <c r="J364" s="25">
        <f t="shared" si="32"/>
        <v>0</v>
      </c>
    </row>
    <row r="365" spans="1:10" x14ac:dyDescent="0.25">
      <c r="A365" s="3">
        <v>42732</v>
      </c>
      <c r="B365" s="12" t="str">
        <f t="shared" si="30"/>
        <v>Tue</v>
      </c>
      <c r="C365" s="7">
        <f t="shared" si="31"/>
        <v>53</v>
      </c>
      <c r="H365" s="25">
        <f t="shared" si="28"/>
        <v>7.8</v>
      </c>
      <c r="I365" s="25">
        <f t="shared" si="29"/>
        <v>0</v>
      </c>
      <c r="J365" s="25">
        <f t="shared" si="32"/>
        <v>0</v>
      </c>
    </row>
    <row r="366" spans="1:10" x14ac:dyDescent="0.25">
      <c r="A366" s="3">
        <v>42733</v>
      </c>
      <c r="B366" s="12" t="str">
        <f t="shared" si="30"/>
        <v>Wed</v>
      </c>
      <c r="C366" s="7">
        <f t="shared" si="31"/>
        <v>53</v>
      </c>
      <c r="H366" s="25">
        <f t="shared" si="28"/>
        <v>7.8</v>
      </c>
      <c r="I366" s="25">
        <f t="shared" si="29"/>
        <v>0</v>
      </c>
      <c r="J366" s="25">
        <f t="shared" si="32"/>
        <v>0</v>
      </c>
    </row>
    <row r="367" spans="1:10" x14ac:dyDescent="0.25">
      <c r="A367" s="3">
        <v>42734</v>
      </c>
      <c r="B367" s="12" t="str">
        <f t="shared" si="30"/>
        <v>Thu</v>
      </c>
      <c r="C367" s="7">
        <f t="shared" si="31"/>
        <v>53</v>
      </c>
      <c r="H367" s="25">
        <f t="shared" si="28"/>
        <v>7.8</v>
      </c>
      <c r="I367" s="25">
        <f t="shared" si="29"/>
        <v>0</v>
      </c>
      <c r="J367" s="25">
        <f t="shared" ref="J367" si="33">IF(D367="",0,$I367-$H367)</f>
        <v>0</v>
      </c>
    </row>
    <row r="368" spans="1:10" x14ac:dyDescent="0.25">
      <c r="A368" s="3"/>
      <c r="C368" s="7"/>
      <c r="H368" s="25"/>
      <c r="I368" s="25"/>
      <c r="J368" s="25"/>
    </row>
  </sheetData>
  <protectedRanges>
    <protectedRange sqref="K2:K366" name="Note"/>
    <protectedRange sqref="D2:G368" name="user_input"/>
  </protectedRanges>
  <conditionalFormatting sqref="E1:G1048576">
    <cfRule type="containsText" dxfId="10" priority="524" operator="containsText" text="Mitfahrer">
      <formula>NOT(ISERROR(SEARCH("Mitfahrer",E1)))</formula>
    </cfRule>
    <cfRule type="containsText" dxfId="9" priority="525" operator="containsText" text="Fahrer">
      <formula>NOT(ISERROR(SEARCH("Fahrer",E1)))</formula>
    </cfRule>
    <cfRule type="containsText" dxfId="8" priority="526" operator="containsText" text="nicht dabei">
      <formula>NOT(ISERROR(SEARCH("nicht dabei",E1)))</formula>
    </cfRule>
  </conditionalFormatting>
  <conditionalFormatting sqref="C1:I1">
    <cfRule type="expression" dxfId="7" priority="6">
      <formula>WEEKDAY(#REF!,2)&gt;5</formula>
    </cfRule>
  </conditionalFormatting>
  <conditionalFormatting sqref="A1:XFD1048576">
    <cfRule type="expression" dxfId="6" priority="3">
      <formula>WEEKDAY($A1,2)&gt;5</formula>
    </cfRule>
  </conditionalFormatting>
  <conditionalFormatting sqref="J2:J368">
    <cfRule type="cellIs" dxfId="5" priority="1" operator="lessThan">
      <formula>0</formula>
    </cfRule>
    <cfRule type="cellIs" dxfId="4" priority="2" operator="greaterThan">
      <formula>0</formula>
    </cfRule>
  </conditionalFormatting>
  <dataValidations count="2">
    <dataValidation type="time" allowBlank="1" showInputMessage="1" showErrorMessage="1" sqref="E2:F1048576" xr:uid="{00000000-0002-0000-0000-000000000000}">
      <formula1>0.25</formula1>
      <formula2>0.833333333333333</formula2>
    </dataValidation>
    <dataValidation type="list" allowBlank="1" showInputMessage="1" showErrorMessage="1" sqref="D2:D368" xr:uid="{00000000-0002-0000-0000-000001000000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C16"/>
  <sheetViews>
    <sheetView workbookViewId="0">
      <selection activeCell="B7" sqref="B7"/>
    </sheetView>
  </sheetViews>
  <sheetFormatPr defaultRowHeight="15" x14ac:dyDescent="0.25"/>
  <cols>
    <col min="1" max="1" width="27.140625" bestFit="1" customWidth="1"/>
    <col min="2" max="2" width="28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1" t="s">
        <v>25</v>
      </c>
      <c r="B3" s="11" t="s">
        <v>15</v>
      </c>
      <c r="C3" s="22" t="s">
        <v>17</v>
      </c>
    </row>
    <row r="4" spans="1:3" x14ac:dyDescent="0.25">
      <c r="A4" s="11" t="s">
        <v>27</v>
      </c>
      <c r="B4" s="26">
        <v>0</v>
      </c>
      <c r="C4" s="26">
        <v>0</v>
      </c>
    </row>
    <row r="5" spans="1:3" x14ac:dyDescent="0.25">
      <c r="A5" s="11" t="s">
        <v>28</v>
      </c>
      <c r="B5" s="26">
        <v>0</v>
      </c>
      <c r="C5" s="26">
        <v>0</v>
      </c>
    </row>
    <row r="6" spans="1:3" x14ac:dyDescent="0.25">
      <c r="A6" s="11" t="s">
        <v>29</v>
      </c>
      <c r="B6" s="26">
        <v>0</v>
      </c>
      <c r="C6" s="26">
        <v>0</v>
      </c>
    </row>
    <row r="7" spans="1:3" x14ac:dyDescent="0.25">
      <c r="A7" s="11" t="s">
        <v>30</v>
      </c>
      <c r="B7" s="26">
        <v>0</v>
      </c>
      <c r="C7" s="26">
        <v>0</v>
      </c>
    </row>
    <row r="8" spans="1:3" x14ac:dyDescent="0.25">
      <c r="A8" s="11" t="s">
        <v>31</v>
      </c>
      <c r="B8" s="26">
        <v>0</v>
      </c>
      <c r="C8" s="26">
        <v>0</v>
      </c>
    </row>
    <row r="9" spans="1:3" x14ac:dyDescent="0.25">
      <c r="A9" s="11" t="s">
        <v>32</v>
      </c>
      <c r="B9" s="26">
        <v>0</v>
      </c>
      <c r="C9" s="26">
        <v>0</v>
      </c>
    </row>
    <row r="10" spans="1:3" x14ac:dyDescent="0.25">
      <c r="A10" s="11" t="s">
        <v>33</v>
      </c>
      <c r="B10" s="26">
        <v>0</v>
      </c>
      <c r="C10" s="26">
        <v>0</v>
      </c>
    </row>
    <row r="11" spans="1:3" x14ac:dyDescent="0.25">
      <c r="A11" s="11" t="s">
        <v>34</v>
      </c>
      <c r="B11" s="26">
        <v>0</v>
      </c>
      <c r="C11" s="26">
        <v>0</v>
      </c>
    </row>
    <row r="12" spans="1:3" x14ac:dyDescent="0.25">
      <c r="A12" s="11" t="s">
        <v>35</v>
      </c>
      <c r="B12" s="26">
        <v>0</v>
      </c>
      <c r="C12" s="26">
        <v>0</v>
      </c>
    </row>
    <row r="13" spans="1:3" x14ac:dyDescent="0.25">
      <c r="A13" s="11" t="s">
        <v>26</v>
      </c>
      <c r="B13" s="26">
        <v>0</v>
      </c>
      <c r="C13" s="26">
        <v>0</v>
      </c>
    </row>
    <row r="14" spans="1:3" x14ac:dyDescent="0.25">
      <c r="A14" s="11" t="s">
        <v>36</v>
      </c>
      <c r="B14" s="26">
        <v>0</v>
      </c>
      <c r="C14" s="26">
        <v>0</v>
      </c>
    </row>
    <row r="15" spans="1:3" x14ac:dyDescent="0.25">
      <c r="A15" s="11" t="s">
        <v>37</v>
      </c>
      <c r="B15" s="26">
        <v>0</v>
      </c>
      <c r="C15" s="26">
        <v>0</v>
      </c>
    </row>
    <row r="16" spans="1:3" x14ac:dyDescent="0.25">
      <c r="A16" s="11" t="s">
        <v>24</v>
      </c>
      <c r="B16" s="26">
        <v>0</v>
      </c>
      <c r="C16" s="26">
        <v>0</v>
      </c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22</v>
      </c>
      <c r="B1" s="1" t="s">
        <v>9</v>
      </c>
    </row>
    <row r="2" spans="1:2" x14ac:dyDescent="0.25">
      <c r="A2" s="9" t="s">
        <v>5</v>
      </c>
      <c r="B2" t="s">
        <v>19</v>
      </c>
    </row>
    <row r="3" spans="1:2" x14ac:dyDescent="0.25">
      <c r="A3" t="s">
        <v>2</v>
      </c>
      <c r="B3" t="s">
        <v>18</v>
      </c>
    </row>
    <row r="4" spans="1:2" x14ac:dyDescent="0.25">
      <c r="A4" t="s">
        <v>6</v>
      </c>
      <c r="B4" t="s">
        <v>23</v>
      </c>
    </row>
    <row r="5" spans="1:2" x14ac:dyDescent="0.25">
      <c r="A5" t="s">
        <v>3</v>
      </c>
      <c r="B5" t="s">
        <v>20</v>
      </c>
    </row>
    <row r="6" spans="1:2" x14ac:dyDescent="0.25">
      <c r="A6" t="s">
        <v>4</v>
      </c>
      <c r="B6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2020-03-02T07:45:00Z</dcterms:modified>
</cp:coreProperties>
</file>